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oleObject"/>
  <Default Extension="emf" ContentType="image/x-em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drawings/vmlDrawing7.vml" ContentType="application/vnd.openxmlformats-officedocument.vmlDrawing"/>
  <Override PartName="/xl/worksheets/sheet8.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5" lowestEdited="5" rupBuild="9302"/>
  <workbookPr defaultThemeVersion="124226"/>
  <bookViews>
    <workbookView xWindow="0" yWindow="120" windowWidth="19200" windowHeight="7840" activeTab="2"/>
  </bookViews>
  <sheets>
    <sheet name="DHL" sheetId="1" r:id="rId1"/>
    <sheet name="CAR &amp;GENERAL" sheetId="2" r:id="rId2"/>
    <sheet name="MAVWASCO" sheetId="3" r:id="rId3"/>
    <sheet name="FINEWOOD" sheetId="4" r:id="rId4"/>
    <sheet name="DAMWOTECH" sheetId="5" r:id="rId5"/>
    <sheet name="ESS" sheetId="6" r:id="rId6"/>
    <sheet name="WONDER" sheetId="7" r:id="rId7"/>
    <sheet name="Sheet8" sheetId="8" r:id="rId8"/>
  </sheets>
  <calcPr calcId="144525"/>
</workbook>
</file>

<file path=xl/sharedStrings.xml><?xml version="1.0" encoding="utf-8"?>
<sst xmlns="http://schemas.openxmlformats.org/spreadsheetml/2006/main" uniqueCount="170" count="170">
  <si>
    <t>CODE</t>
  </si>
  <si>
    <t>DEBTOR</t>
  </si>
  <si>
    <t>Close Balance</t>
  </si>
  <si>
    <t>CONTACT</t>
  </si>
  <si>
    <t>CWAC22SP</t>
  </si>
  <si>
    <t>Christopher Waweru Ngera</t>
  </si>
  <si>
    <t xml:space="preserve">Victor </t>
  </si>
  <si>
    <t>JKAC22SP</t>
  </si>
  <si>
    <t>John Kaara</t>
  </si>
  <si>
    <t>Promised by 15th. (PD Cheque)</t>
  </si>
  <si>
    <t>JGC006</t>
  </si>
  <si>
    <t>Joycot Gen Contractors Ltd</t>
  </si>
  <si>
    <t>JGCLC22SP</t>
  </si>
  <si>
    <t>KEWC22R-2</t>
  </si>
  <si>
    <t>Kinde Eng. Works Ltd (R920 #47919) Rental)</t>
  </si>
  <si>
    <t>Please share updated contact</t>
  </si>
  <si>
    <t>KEWC22R</t>
  </si>
  <si>
    <t>Kinde Eng. Works Ltd (R920 #49351 Rental)</t>
  </si>
  <si>
    <t>MSML001</t>
  </si>
  <si>
    <t>Mirsitt Saw mills Ltd</t>
  </si>
  <si>
    <t>0715471190</t>
  </si>
  <si>
    <t>James (Mirsitt)</t>
  </si>
  <si>
    <t>MLCL001</t>
  </si>
  <si>
    <t>Mombasa Logistic Contractor Ltd</t>
  </si>
  <si>
    <t>0771474530</t>
  </si>
  <si>
    <t>Paul Mwendia</t>
  </si>
  <si>
    <t>NNTC22SP</t>
  </si>
  <si>
    <t>Niu Niu Technicals Ltd</t>
  </si>
  <si>
    <t>0706908797</t>
  </si>
  <si>
    <t>George Muniu</t>
  </si>
  <si>
    <t>PMGC22SP</t>
  </si>
  <si>
    <t>Pierre &amp; Mrielle Gen Const. Ltd (parts)</t>
  </si>
  <si>
    <t>REL002</t>
  </si>
  <si>
    <t>Rocket Energy Ltd</t>
  </si>
  <si>
    <t>RELC22SP</t>
  </si>
  <si>
    <t>SCCC22SP</t>
  </si>
  <si>
    <t>Sabbia Civil Contractors Ltd</t>
  </si>
  <si>
    <t>0722 107203</t>
  </si>
  <si>
    <t xml:space="preserve">Wilson </t>
  </si>
  <si>
    <t>SHRIA001</t>
  </si>
  <si>
    <t>Sheariah Ltd (Rental)</t>
  </si>
  <si>
    <t>SSIC22R</t>
  </si>
  <si>
    <t>Susan Irungu - Rentals #53261 #28405</t>
  </si>
  <si>
    <t>TWPC22SP</t>
  </si>
  <si>
    <t>Tabitha Wairimu &amp; Phoebe Njoki</t>
  </si>
  <si>
    <t>AMOUNT OWED</t>
  </si>
  <si>
    <t>AMOUNT PAID</t>
  </si>
  <si>
    <t>Amount Paid</t>
  </si>
  <si>
    <t>Current balance</t>
  </si>
  <si>
    <t>ESS REMARKS</t>
  </si>
  <si>
    <t>CONTACT PERSON</t>
  </si>
  <si>
    <t>TRACKPOL REPORT</t>
  </si>
  <si>
    <t>RECOMMENDATION</t>
  </si>
  <si>
    <t>NOT FOLLOWING UP</t>
  </si>
  <si>
    <t>AWAITING GO AHEAD FROM ESS, BRIAN AND TEAM</t>
  </si>
  <si>
    <t>NO CONTACTS</t>
  </si>
  <si>
    <t>FOLLOWING UP</t>
  </si>
  <si>
    <t>DEBTORS NAME</t>
  </si>
  <si>
    <t>CONTACTS</t>
  </si>
  <si>
    <t>BALANCE</t>
  </si>
  <si>
    <t>COMMENTS</t>
  </si>
  <si>
    <t>To Do</t>
  </si>
  <si>
    <t>JUSTNICE LIMITED</t>
  </si>
  <si>
    <t>MR. NYABERI</t>
  </si>
  <si>
    <t>KSH. 6,759,407.00</t>
  </si>
  <si>
    <t>DEBTOR REFUTED THE DEBT, STATED HE DOES NOT KNOW OF THE SAID DEBT.</t>
  </si>
  <si>
    <t xml:space="preserve">FILE CASE AT MILIMANI COURTS, IN ORDER TO RECEIVE A COURT ORDER </t>
  </si>
  <si>
    <t>FERUZI ENTERPRISES LTD</t>
  </si>
  <si>
    <t>MR. PAUL MUTHINJI</t>
  </si>
  <si>
    <t>USD 88,000.00</t>
  </si>
  <si>
    <t>KSH. 5, 113, 506.80</t>
  </si>
  <si>
    <t>KSH. 5,113, 506.80</t>
  </si>
  <si>
    <t>FLYFIT ENT. LIMITED</t>
  </si>
  <si>
    <t>ANN MWANIKI</t>
  </si>
  <si>
    <t>KSH. 621,000.00</t>
  </si>
  <si>
    <t>DEBTOR THREW AWAY HER CONTACT, WE NEED TO DO FILE A CASE SO THAT WE GET WARRANT OF ARREST FOR THIS DEBTOR</t>
  </si>
  <si>
    <t>WILL AWAIT FOR COPY OF REPAYMENT AGREEMENT SCHEDULE THIS WEEK FAILURE TO WHICH WE WILL VISIT HER LOCATION COMING WEEK. WE WILL KEEP YOU POSTED.</t>
  </si>
  <si>
    <t>JTG ENTERPRISES LIMITED</t>
  </si>
  <si>
    <t>JOSEPH THUO (GICHUHI)</t>
  </si>
  <si>
    <t>KSH. 562,000.00</t>
  </si>
  <si>
    <t>TEKNO POWER LIMITED</t>
  </si>
  <si>
    <t>DAHIR</t>
  </si>
  <si>
    <t xml:space="preserve">dahir374@outlook.com </t>
  </si>
  <si>
    <t>USD. 220, 026.09</t>
  </si>
  <si>
    <t>FORWARDED DEMAND LETTER TO THEIR EMAIL AWAITING RESPONSE WITHIN THE NEXT 14DAYS ACCORDING TO LAWS OF KENYA.</t>
  </si>
  <si>
    <t>Reep investments</t>
  </si>
  <si>
    <t>ELIUD</t>
  </si>
  <si>
    <t>0722595966.he bought parts</t>
  </si>
  <si>
    <t>Ksh. 69, 832.00</t>
  </si>
  <si>
    <t>TAVEVO WATER AND SEWERAGE CO.</t>
  </si>
  <si>
    <t>N/A</t>
  </si>
  <si>
    <t>Ksh. 465,302.00</t>
  </si>
  <si>
    <t>TOTAL</t>
  </si>
  <si>
    <t>722848360 - Hurlingham starwood apartments A-7,ARGWINGS KODHEK RD</t>
  </si>
  <si>
    <t>AWAITING COURT ORDER AND RULING IN COURT</t>
  </si>
  <si>
    <t>His numbers are +256783896293-his whats app number Other number 0721840280.</t>
  </si>
  <si>
    <t xml:space="preserve">0721205737 – AMINA, FINANCE MANAGER </t>
  </si>
  <si>
    <t>CLEARED</t>
  </si>
  <si>
    <t>PAID 50K THEN CHANGE IN MANAGEMENT TOOK PLACE, SO WE HAVE TO VISIT THE OFFICE PHYSICALLY</t>
  </si>
  <si>
    <t>FOR OUR TEAM TO BE CATERED ON LOISTICS TO AND FROM DEBTORS LOCATION, WE COME BACK WITH PAYMENT</t>
  </si>
  <si>
    <t xml:space="preserve">DEBTOR IS TAKING THIS PROCESS FOR GRANTED. </t>
  </si>
  <si>
    <t>LETS FILE THIS CASE IN COURT AND GET AND GET THE WARRANT FOR ATTACHMENT</t>
  </si>
  <si>
    <t>CALL ON 12TH MARCH AT 8AM</t>
  </si>
  <si>
    <t>WE WILL KEEP YOU POSTED</t>
  </si>
  <si>
    <t>TO MAKE PAYMENT BY THE 21ST MARCH 2025</t>
  </si>
  <si>
    <t>NO NOT GOING THROUGH</t>
  </si>
  <si>
    <t>AS COMMUNICATED TO BRIAN AWAITING ADVICE</t>
  </si>
  <si>
    <t>AMOUNT BEING FOLLOWED BY TRACKPOL</t>
  </si>
  <si>
    <t>cleared</t>
  </si>
  <si>
    <t>has never picked up the call</t>
  </si>
  <si>
    <t>113, 452.90</t>
  </si>
  <si>
    <t>WONDER SACCO LIMITED</t>
  </si>
  <si>
    <r>
      <t>PROGRESSIVE REPORT FOR THE WEEK ENDING 20</t>
    </r>
    <r>
      <rPr>
        <b/>
        <u/>
        <vertAlign val="superscript"/>
        <sz val="16"/>
        <color rgb="FF000000"/>
        <rFont val="Arial"/>
      </rPr>
      <t>TH</t>
    </r>
    <r>
      <rPr>
        <b/>
        <u/>
        <sz val="16"/>
        <color rgb="FF000000"/>
        <rFont val="Arial"/>
      </rPr>
      <t xml:space="preserve"> JANUARY 2024</t>
    </r>
  </si>
  <si>
    <t>ACTION</t>
  </si>
  <si>
    <t>S/N</t>
  </si>
  <si>
    <t>DEBTOR’S NAME</t>
  </si>
  <si>
    <t>CONTACTS/ LOCATION</t>
  </si>
  <si>
    <t>AMOUNT OWING</t>
  </si>
  <si>
    <t>SIKO AKUMA AKUMA</t>
  </si>
  <si>
    <t>+254 722 448838</t>
  </si>
  <si>
    <t>Debtor does not have any job, nor can he make payments right now. He is requesting too make payments from July 2025</t>
  </si>
  <si>
    <t>Amount is too small but we can file with the rest. COURT</t>
  </si>
  <si>
    <t>TOM AWOUR AWOUR</t>
  </si>
  <si>
    <t>Debtor refuted the debt</t>
  </si>
  <si>
    <t>Chairman or accounts to clarify the same to the debtor or take legal action</t>
  </si>
  <si>
    <t>BILLY WAFULA WEKHOMBA</t>
  </si>
  <si>
    <t>723339506/ 710663608</t>
  </si>
  <si>
    <t>MARIAM ATIENO OMONDI</t>
  </si>
  <si>
    <t>727595349/ 732524150</t>
  </si>
  <si>
    <t>accounts to confirm payment, she nolonger picks up</t>
  </si>
  <si>
    <t>if no payment done then, file in court and apprehend until payment is done</t>
  </si>
  <si>
    <t>VICTORIA MWANZIA</t>
  </si>
  <si>
    <t>she is paying the way she feels like.</t>
  </si>
  <si>
    <t>We will keep you posted.</t>
  </si>
  <si>
    <t>EDWIN NYANDIBA MOGAKA</t>
  </si>
  <si>
    <t>contacts never picked up</t>
  </si>
  <si>
    <t>We recommend filing a court case inorder to process a warrant of arrest so that we make the family pay for him.</t>
  </si>
  <si>
    <t>STEPHEN MACHARIA NJERI</t>
  </si>
  <si>
    <t>to pay 10,000 per month</t>
  </si>
  <si>
    <t>making payment by 10th april 2025. we will keep you posted</t>
  </si>
  <si>
    <t>MICHAEL  MUGAMBI FINANCE MANAGER</t>
  </si>
  <si>
    <t>Debtor just got a job and is willing to clear the debt and still continue operating their sacco account.  He will be making a payment of Ksh. 15,000.00 which will take 66months that’s 5years until he is able to make more than that</t>
  </si>
  <si>
    <t>IT is either we accept this Payment or take further action in court inorder to get a court order to auction him. Advantage of court is that you may be able to get the monies more faster, which will also require us to do an investigation inorder to get security to withold</t>
  </si>
  <si>
    <t xml:space="preserve">SIMON PETER KAMAU MACHARIA </t>
  </si>
  <si>
    <t>making payment</t>
  </si>
  <si>
    <t xml:space="preserve">CATHRINE MWANGANGI KANINI </t>
  </si>
  <si>
    <t>You took this account back</t>
  </si>
  <si>
    <t>MICHAEL WANYOIKE KUNGU</t>
  </si>
  <si>
    <t xml:space="preserve">0785659804/ 0736572890  </t>
  </si>
  <si>
    <t>Debtor states that he doesn’t have any monies at the moment so we wait until things get better and he doesn’t know when that will be</t>
  </si>
  <si>
    <t>court</t>
  </si>
  <si>
    <t xml:space="preserve">IRENE WAIRIMU  NJOROGE </t>
  </si>
  <si>
    <t>not picking up</t>
  </si>
  <si>
    <t>DENIS KIMATHI MBABU</t>
  </si>
  <si>
    <t>no contacts</t>
  </si>
  <si>
    <t>We need more contacts inorder to follow up</t>
  </si>
  <si>
    <t>JANE WAMBUI NJAMA</t>
  </si>
  <si>
    <t>Debtor states that she doesn’t have any monies at the moment so we wait until things get better and she doesn’t know when that will be</t>
  </si>
  <si>
    <t>GEOFFREY MBAWI OTONDE</t>
  </si>
  <si>
    <t>Contacts never picked up</t>
  </si>
  <si>
    <t>PERIS WANGARI MUHIKA</t>
  </si>
  <si>
    <t>debtor refuting debt</t>
  </si>
  <si>
    <t>Chairman or accounts to clarify the same to the debtor or write off</t>
  </si>
  <si>
    <t>LEAH WANJIKU</t>
  </si>
  <si>
    <t>SAMUEL KINGORI MATHENGE</t>
  </si>
  <si>
    <t>awaiting contacts from wonder sacco</t>
  </si>
  <si>
    <t>ENOSH OMAYIO MBAKA</t>
  </si>
  <si>
    <t>DAVID OTIA EMURIA</t>
  </si>
  <si>
    <t>FAITH JEPTOO CHEMOIYWO</t>
  </si>
  <si>
    <t>Total Amount</t>
  </si>
</sst>
</file>

<file path=xl/styles.xml><?xml version="1.0" encoding="utf-8"?>
<styleSheet xmlns="http://schemas.openxmlformats.org/spreadsheetml/2006/main">
  <numFmts count="3">
    <numFmt numFmtId="0" formatCode="General"/>
    <numFmt numFmtId="164" formatCode="_-* #,##0.00_-;\-* #,##0.00_-;_-* &quot;-&quot;??_-;_-@_-"/>
    <numFmt numFmtId="4" formatCode="#,##0.00"/>
  </numFmts>
  <fonts count="24">
    <font>
      <name val="Calibri"/>
      <sz val="11"/>
    </font>
    <font>
      <name val="Calibri"/>
      <charset val="1"/>
      <sz val="11"/>
      <color rgb="FF000000"/>
    </font>
    <font>
      <name val="Calibri"/>
      <b/>
      <sz val="11"/>
      <color rgb="FFFFFFFF"/>
    </font>
    <font>
      <name val="Calibri"/>
      <sz val="11"/>
    </font>
    <font>
      <name val="Calibri"/>
      <sz val="12"/>
      <color rgb="FF000000"/>
    </font>
    <font>
      <name val="Calibri"/>
      <charset val="1"/>
      <u/>
      <sz val="11"/>
      <color rgb="FF0000FF"/>
    </font>
    <font>
      <name val="Calibri"/>
      <sz val="12"/>
      <color rgb="FF00B050"/>
    </font>
    <font>
      <name val="Calibri"/>
      <sz val="11"/>
      <color rgb="FF000000"/>
    </font>
    <font>
      <name val="Calibri"/>
      <sz val="12"/>
      <color rgb="FF000000"/>
    </font>
    <font>
      <name val="Calibri"/>
      <b/>
      <sz val="12"/>
      <color rgb="FF000000"/>
    </font>
    <font>
      <name val="Calibri"/>
      <b/>
      <sz val="12"/>
      <color rgb="FF000000"/>
    </font>
    <font>
      <name val="Calibri"/>
      <charset val="1"/>
      <sz val="11"/>
      <color rgb="FFFF0000"/>
    </font>
    <font>
      <name val="Calibri"/>
      <b/>
      <sz val="11"/>
    </font>
    <font>
      <name val="Times New Roman"/>
      <b/>
      <sz val="22"/>
      <color rgb="FF000000"/>
    </font>
    <font>
      <name val="Arial"/>
      <b/>
      <u/>
      <sz val="16"/>
      <color rgb="FF000000"/>
    </font>
    <font>
      <name val="Times New Roman"/>
      <b/>
      <sz val="12"/>
      <color rgb="FF000000"/>
    </font>
    <font>
      <name val="Times New Roman"/>
      <b/>
      <sz val="10"/>
      <color rgb="FF000000"/>
    </font>
    <font>
      <name val="Verdana"/>
      <sz val="10"/>
      <color rgb="FF333333"/>
    </font>
    <font>
      <name val="Calibri"/>
      <sz val="10"/>
      <color rgb="FF000000"/>
    </font>
    <font>
      <name val="Times New Roman"/>
      <sz val="10"/>
      <color rgb="FF000000"/>
    </font>
    <font>
      <name val="Verdana"/>
      <sz val="10"/>
    </font>
    <font>
      <name val="Calibri"/>
      <sz val="10"/>
    </font>
    <font>
      <name val="Calibri"/>
      <charset val="1"/>
      <sz val="11"/>
      <color rgb="FFFFFFFF"/>
    </font>
    <font>
      <name val="Calibri"/>
      <charset val="1"/>
      <sz val="11"/>
      <color rgb="FF000000"/>
    </font>
  </fonts>
  <fills count="11">
    <fill>
      <patternFill patternType="none"/>
    </fill>
    <fill>
      <patternFill patternType="gray125"/>
    </fill>
    <fill>
      <patternFill patternType="solid">
        <fgColor rgb="FF5181BD"/>
      </patternFill>
    </fill>
    <fill>
      <patternFill patternType="solid">
        <fgColor rgb="FF00B050"/>
        <bgColor indexed="64"/>
      </patternFill>
    </fill>
    <fill>
      <patternFill patternType="solid">
        <fgColor rgb="FFFFFF00"/>
        <bgColor indexed="64"/>
      </patternFill>
    </fill>
    <fill>
      <patternFill patternType="solid">
        <fgColor rgb="FFDCE5F1"/>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B8CCE4"/>
        <bgColor indexed="64"/>
      </patternFill>
    </fill>
    <fill>
      <patternFill patternType="solid">
        <fgColor rgb="FFC0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s>
  <cellStyleXfs count="4">
    <xf numFmtId="0" fontId="0" fillId="0" borderId="0">
      <alignment vertical="center"/>
    </xf>
    <xf numFmtId="0" fontId="22" fillId="2" borderId="0">
      <alignment vertical="top"/>
      <protection locked="0" hidden="0"/>
    </xf>
    <xf numFmtId="164" fontId="23" fillId="0" borderId="0">
      <alignment vertical="top"/>
      <protection locked="0" hidden="0"/>
    </xf>
    <xf numFmtId="0" fontId="5" fillId="0" borderId="0">
      <alignment vertical="top"/>
      <protection locked="0" hidden="0"/>
    </xf>
  </cellStyleXfs>
  <cellXfs count="106">
    <xf numFmtId="0" fontId="0" fillId="0" borderId="0" xfId="0">
      <alignment vertical="center"/>
    </xf>
    <xf numFmtId="0" fontId="1" fillId="0" borderId="0" xfId="0" applyAlignment="1">
      <alignment vertical="bottom" wrapText="1"/>
    </xf>
    <xf numFmtId="0" fontId="2" fillId="2" borderId="1" xfId="1" applyFont="1" applyBorder="1" applyAlignment="1">
      <alignment vertical="bottom"/>
    </xf>
    <xf numFmtId="0" fontId="2" fillId="2" borderId="1" xfId="1" applyFont="1" applyBorder="1" applyAlignment="1">
      <alignment vertical="bottom" wrapText="1"/>
    </xf>
    <xf numFmtId="164" fontId="2" fillId="2" borderId="1" xfId="1" applyNumberFormat="1" applyFont="1" applyBorder="1" applyAlignment="1">
      <alignment vertical="bottom"/>
    </xf>
    <xf numFmtId="164" fontId="2" fillId="2" borderId="1" xfId="1" applyNumberFormat="1" applyFont="1" applyBorder="1" applyAlignment="1">
      <alignment vertical="bottom" wrapText="1"/>
    </xf>
    <xf numFmtId="0" fontId="3" fillId="0" borderId="1" xfId="0" applyFont="1" applyFill="1" applyBorder="1" applyAlignment="1">
      <alignment vertical="bottom" wrapText="1"/>
    </xf>
    <xf numFmtId="0" fontId="3" fillId="0" borderId="1" xfId="0" applyFont="1" applyFill="1" applyBorder="1" applyAlignment="1">
      <alignment vertical="bottom"/>
    </xf>
    <xf numFmtId="164" fontId="3" fillId="0" borderId="1" xfId="2" applyFont="1" applyFill="1" applyBorder="1" applyAlignment="1">
      <alignment vertical="bottom"/>
    </xf>
    <xf numFmtId="164" fontId="3" fillId="0" borderId="1" xfId="2" applyFont="1" applyFill="1" applyBorder="1" applyAlignment="1">
      <alignment vertical="bottom" wrapText="1"/>
    </xf>
    <xf numFmtId="0" fontId="4" fillId="0" borderId="2" xfId="0" applyFont="1" applyFill="1" applyBorder="1" applyAlignment="1">
      <alignment vertical="center" wrapText="1"/>
    </xf>
    <xf numFmtId="0" fontId="4" fillId="0" borderId="3" xfId="0" applyFont="1" applyFill="1" applyBorder="1" applyAlignment="1">
      <alignment vertical="center" wrapText="1"/>
    </xf>
    <xf numFmtId="0" fontId="4" fillId="0" borderId="3" xfId="0" applyFont="1" applyFill="1" applyBorder="1" applyAlignment="1">
      <alignment horizontal="center" vertical="center" wrapText="1"/>
    </xf>
    <xf numFmtId="4" fontId="4" fillId="0" borderId="3" xfId="0" applyNumberFormat="1" applyFont="1" applyFill="1" applyBorder="1" applyAlignment="1">
      <alignment vertical="center" wrapText="1"/>
    </xf>
    <xf numFmtId="0" fontId="5" fillId="0" borderId="3" xfId="3" applyFill="1" applyBorder="1" applyAlignment="1">
      <alignment vertical="center" wrapText="1"/>
    </xf>
    <xf numFmtId="0" fontId="4" fillId="0" borderId="2" xfId="0" applyFont="1" applyFill="1" applyBorder="1" applyAlignment="1">
      <alignment horizontal="center" vertical="center" wrapText="1"/>
    </xf>
    <xf numFmtId="0" fontId="6" fillId="0" borderId="2" xfId="0" applyFont="1" applyFill="1" applyBorder="1" applyAlignment="1">
      <alignment vertical="center" wrapText="1"/>
    </xf>
    <xf numFmtId="0" fontId="7" fillId="0" borderId="3" xfId="0" applyFont="1" applyFill="1" applyBorder="1" applyAlignment="1">
      <alignment vertical="center" wrapText="1"/>
    </xf>
    <xf numFmtId="4" fontId="4" fillId="0" borderId="3" xfId="0" applyNumberFormat="1" applyFont="1" applyFill="1" applyBorder="1" applyAlignment="1">
      <alignment horizontal="center" vertical="center" wrapText="1"/>
    </xf>
    <xf numFmtId="0" fontId="6" fillId="0" borderId="3" xfId="0" applyFont="1" applyFill="1" applyBorder="1" applyAlignment="1">
      <alignment vertical="center" wrapText="1"/>
    </xf>
    <xf numFmtId="0" fontId="4" fillId="0" borderId="4" xfId="0" applyFont="1" applyFill="1" applyBorder="1" applyAlignment="1">
      <alignment vertical="center" wrapText="1"/>
    </xf>
    <xf numFmtId="0" fontId="8" fillId="0" borderId="5" xfId="0" applyFont="1" applyFill="1" applyBorder="1" applyAlignment="1">
      <alignment vertical="center" wrapText="1"/>
    </xf>
    <xf numFmtId="4" fontId="4" fillId="0" borderId="4" xfId="0" applyNumberFormat="1" applyFont="1" applyFill="1" applyBorder="1" applyAlignment="1">
      <alignment horizontal="center" vertical="center" wrapText="1"/>
    </xf>
    <xf numFmtId="4" fontId="4" fillId="0" borderId="4" xfId="0" applyNumberFormat="1" applyFont="1" applyFill="1" applyBorder="1" applyAlignment="1">
      <alignment vertical="center" wrapText="1"/>
    </xf>
    <xf numFmtId="0" fontId="6" fillId="0" borderId="4" xfId="0" applyFont="1" applyFill="1" applyBorder="1" applyAlignment="1">
      <alignment vertical="center" wrapText="1"/>
    </xf>
    <xf numFmtId="0" fontId="4" fillId="0" borderId="6" xfId="0" applyFont="1" applyFill="1" applyBorder="1" applyAlignment="1">
      <alignment vertical="center" wrapText="1"/>
    </xf>
    <xf numFmtId="4" fontId="4" fillId="0" borderId="6" xfId="0" applyNumberFormat="1" applyFont="1" applyFill="1" applyBorder="1" applyAlignment="1">
      <alignment horizontal="center" vertical="center" wrapText="1"/>
    </xf>
    <xf numFmtId="4" fontId="4" fillId="0" borderId="6" xfId="0" applyNumberFormat="1" applyFont="1" applyFill="1" applyBorder="1" applyAlignment="1">
      <alignment vertical="center" wrapText="1"/>
    </xf>
    <xf numFmtId="0" fontId="6" fillId="0" borderId="6" xfId="0" applyFont="1" applyFill="1" applyBorder="1" applyAlignment="1">
      <alignment vertical="center" wrapText="1"/>
    </xf>
    <xf numFmtId="0" fontId="4" fillId="0" borderId="2" xfId="0" applyFont="1" applyFill="1" applyBorder="1" applyAlignment="1">
      <alignment vertical="center" wrapText="1"/>
    </xf>
    <xf numFmtId="4" fontId="4" fillId="0" borderId="2" xfId="0" applyNumberFormat="1" applyFont="1" applyFill="1" applyBorder="1" applyAlignment="1">
      <alignment horizontal="center" vertical="center" wrapText="1"/>
    </xf>
    <xf numFmtId="4" fontId="4" fillId="0" borderId="2" xfId="0" applyNumberFormat="1" applyFont="1" applyFill="1" applyBorder="1" applyAlignment="1">
      <alignment vertical="center" wrapText="1"/>
    </xf>
    <xf numFmtId="0" fontId="6" fillId="0" borderId="2" xfId="0" applyFont="1" applyFill="1" applyBorder="1" applyAlignment="1">
      <alignment vertical="center" wrapText="1"/>
    </xf>
    <xf numFmtId="0" fontId="9" fillId="0" borderId="2" xfId="0" applyFont="1" applyBorder="1" applyAlignment="1">
      <alignment vertical="center" wrapText="1"/>
    </xf>
    <xf numFmtId="0" fontId="9" fillId="0" borderId="3" xfId="0" applyFont="1" applyBorder="1" applyAlignment="1">
      <alignment vertical="center" wrapText="1"/>
    </xf>
    <xf numFmtId="0" fontId="10" fillId="0" borderId="3" xfId="0" applyFont="1" applyBorder="1" applyAlignment="1">
      <alignment vertical="center" wrapText="1"/>
    </xf>
    <xf numFmtId="0" fontId="7" fillId="0" borderId="0" xfId="0" applyFont="1">
      <alignment vertical="center"/>
    </xf>
    <xf numFmtId="0" fontId="1" fillId="0" borderId="1" xfId="0" applyBorder="1" applyAlignment="1">
      <alignment vertical="bottom"/>
    </xf>
    <xf numFmtId="0" fontId="11" fillId="0" borderId="1" xfId="0" applyFont="1" applyFill="1" applyBorder="1" applyAlignment="1">
      <alignment vertical="bottom"/>
    </xf>
    <xf numFmtId="0" fontId="1" fillId="0" borderId="1" xfId="0" applyFill="1" applyBorder="1" applyAlignment="1">
      <alignment vertical="bottom"/>
    </xf>
    <xf numFmtId="0" fontId="1" fillId="3" borderId="1" xfId="0" applyFill="1" applyBorder="1" applyAlignment="1">
      <alignment vertical="bottom"/>
    </xf>
    <xf numFmtId="0" fontId="3" fillId="3" borderId="1" xfId="0" applyFont="1" applyFill="1" applyBorder="1" applyAlignment="1">
      <alignment vertical="bottom"/>
    </xf>
    <xf numFmtId="0" fontId="3" fillId="3" borderId="1" xfId="0" applyFont="1" applyFill="1" applyBorder="1" applyAlignment="1">
      <alignment vertical="bottom" wrapText="1"/>
    </xf>
    <xf numFmtId="164" fontId="3" fillId="3" borderId="1" xfId="2" applyFont="1" applyFill="1" applyBorder="1" applyAlignment="1">
      <alignment vertical="bottom"/>
    </xf>
    <xf numFmtId="0" fontId="3" fillId="0" borderId="1" xfId="0" applyFont="1" applyBorder="1" applyAlignment="1">
      <alignment vertical="bottom"/>
    </xf>
    <xf numFmtId="0" fontId="3" fillId="0" borderId="1" xfId="0" applyFont="1" applyBorder="1" applyAlignment="1">
      <alignment vertical="bottom" wrapText="1"/>
    </xf>
    <xf numFmtId="164" fontId="3" fillId="0" borderId="1" xfId="2" applyFont="1" applyBorder="1" applyAlignment="1">
      <alignment vertical="bottom"/>
    </xf>
    <xf numFmtId="0" fontId="3" fillId="4" borderId="1" xfId="0" applyFont="1" applyFill="1" applyBorder="1" applyAlignment="1">
      <alignment vertical="bottom" wrapText="1"/>
    </xf>
    <xf numFmtId="0" fontId="1" fillId="0" borderId="1" xfId="0" applyBorder="1" applyAlignment="1">
      <alignment vertical="bottom" wrapText="1"/>
    </xf>
    <xf numFmtId="0" fontId="1" fillId="4" borderId="1" xfId="0" applyFill="1" applyBorder="1" applyAlignment="1">
      <alignment vertical="bottom"/>
    </xf>
    <xf numFmtId="0" fontId="3" fillId="4" borderId="1" xfId="0" applyFont="1" applyFill="1" applyBorder="1" applyAlignment="1">
      <alignment vertical="bottom"/>
    </xf>
    <xf numFmtId="164" fontId="3" fillId="4" borderId="1" xfId="2" applyFont="1" applyFill="1" applyBorder="1" applyAlignment="1">
      <alignment vertical="bottom"/>
    </xf>
    <xf numFmtId="0" fontId="3" fillId="5" borderId="1" xfId="0" applyFont="1" applyFill="1" applyBorder="1" applyAlignment="1">
      <alignment vertical="bottom"/>
    </xf>
    <xf numFmtId="0" fontId="3" fillId="5" borderId="1" xfId="0" applyFont="1" applyFill="1" applyBorder="1" applyAlignment="1">
      <alignment vertical="bottom" wrapText="1"/>
    </xf>
    <xf numFmtId="164" fontId="3" fillId="5" borderId="1" xfId="2" applyFont="1" applyFill="1" applyBorder="1" applyAlignment="1">
      <alignment vertical="bottom"/>
    </xf>
    <xf numFmtId="0" fontId="1" fillId="3" borderId="1" xfId="0" applyFill="1" applyBorder="1" applyAlignment="1">
      <alignment vertical="bottom" wrapText="1"/>
    </xf>
    <xf numFmtId="0" fontId="3" fillId="3" borderId="1" xfId="0" applyFont="1" applyFill="1" applyBorder="1" applyAlignment="1" quotePrefix="1">
      <alignment vertical="bottom"/>
    </xf>
    <xf numFmtId="0" fontId="12" fillId="0" borderId="1" xfId="0" applyFont="1" applyBorder="1" applyAlignment="1">
      <alignment vertical="bottom"/>
    </xf>
    <xf numFmtId="164" fontId="12" fillId="6" borderId="1" xfId="2" applyFont="1" applyFill="1" applyBorder="1" applyAlignment="1">
      <alignment vertical="bottom"/>
    </xf>
    <xf numFmtId="164" fontId="12" fillId="0" borderId="1" xfId="2" applyFont="1" applyBorder="1" applyAlignment="1">
      <alignment vertical="bottom"/>
    </xf>
    <xf numFmtId="164" fontId="3" fillId="7" borderId="1" xfId="2" applyFont="1" applyFill="1" applyBorder="1" applyAlignment="1">
      <alignment vertical="bottom"/>
    </xf>
    <xf numFmtId="0" fontId="1" fillId="0" borderId="0" xfId="0" applyAlignment="1">
      <alignment horizontal="center" vertical="bottom"/>
    </xf>
    <xf numFmtId="0" fontId="13" fillId="0" borderId="0" xfId="0" applyFont="1" applyAlignment="1">
      <alignment horizontal="center" vertical="center"/>
    </xf>
    <xf numFmtId="0" fontId="14" fillId="0" borderId="7" xfId="0" applyFont="1" applyBorder="1" applyAlignment="1">
      <alignment horizontal="center" vertical="center" wrapText="1"/>
    </xf>
    <xf numFmtId="0" fontId="15" fillId="6" borderId="8" xfId="0" applyFont="1" applyFill="1" applyBorder="1" applyAlignment="1">
      <alignment horizontal="left" vertical="center" wrapText="1"/>
    </xf>
    <xf numFmtId="0" fontId="15" fillId="6" borderId="9"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15" fillId="6" borderId="11" xfId="0" applyFont="1" applyFill="1" applyBorder="1" applyAlignment="1">
      <alignment vertical="center" wrapText="1"/>
    </xf>
    <xf numFmtId="0" fontId="15" fillId="6" borderId="11"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vertical="center" wrapText="1"/>
    </xf>
    <xf numFmtId="0" fontId="18" fillId="0" borderId="1" xfId="0" applyFont="1" applyBorder="1" applyAlignment="1">
      <alignment horizontal="right" vertical="center" wrapText="1"/>
    </xf>
    <xf numFmtId="4" fontId="18" fillId="0" borderId="1" xfId="0" applyNumberFormat="1" applyFont="1" applyBorder="1" applyAlignment="1">
      <alignment vertical="center" wrapText="1"/>
    </xf>
    <xf numFmtId="0" fontId="18" fillId="0" borderId="1" xfId="0" applyFont="1" applyBorder="1" applyAlignment="1">
      <alignment horizontal="center" vertical="center" wrapText="1"/>
    </xf>
    <xf numFmtId="4" fontId="18" fillId="0" borderId="1" xfId="0" applyNumberFormat="1" applyFont="1" applyBorder="1" applyAlignment="1">
      <alignment horizontal="justify" vertical="center" wrapText="1"/>
    </xf>
    <xf numFmtId="0" fontId="17" fillId="8" borderId="1" xfId="0" applyFont="1" applyFill="1" applyBorder="1" applyAlignment="1">
      <alignment vertical="center" wrapText="1"/>
    </xf>
    <xf numFmtId="0" fontId="17" fillId="3" borderId="1" xfId="0" applyFont="1" applyFill="1" applyBorder="1" applyAlignment="1">
      <alignment vertical="center" wrapText="1"/>
    </xf>
    <xf numFmtId="0" fontId="16"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8" fillId="9" borderId="1" xfId="0" applyFont="1" applyFill="1" applyBorder="1" applyAlignment="1">
      <alignment horizontal="right" vertical="center" wrapText="1"/>
    </xf>
    <xf numFmtId="4" fontId="18" fillId="9" borderId="1" xfId="0" applyNumberFormat="1" applyFont="1" applyFill="1" applyBorder="1" applyAlignment="1">
      <alignment vertical="center" wrapText="1"/>
    </xf>
    <xf numFmtId="0" fontId="18" fillId="9" borderId="1" xfId="0" applyFont="1" applyFill="1" applyBorder="1" applyAlignment="1">
      <alignment horizontal="center" vertical="center" wrapText="1"/>
    </xf>
    <xf numFmtId="4" fontId="19" fillId="9" borderId="1" xfId="0" applyNumberFormat="1" applyFont="1" applyFill="1" applyBorder="1" applyAlignment="1">
      <alignment horizontal="left" vertical="center" wrapText="1" indent="1"/>
    </xf>
    <xf numFmtId="0" fontId="17" fillId="10" borderId="1" xfId="0" applyFont="1" applyFill="1" applyBorder="1" applyAlignment="1">
      <alignment vertical="center" wrapText="1"/>
    </xf>
    <xf numFmtId="4" fontId="18" fillId="9" borderId="1" xfId="0" applyNumberFormat="1" applyFont="1" applyFill="1" applyBorder="1" applyAlignment="1">
      <alignment horizontal="justify" vertical="center" wrapText="1"/>
    </xf>
    <xf numFmtId="0" fontId="17" fillId="4" borderId="1" xfId="0" applyFont="1" applyFill="1" applyBorder="1" applyAlignment="1">
      <alignment vertical="center" wrapText="1"/>
    </xf>
    <xf numFmtId="4" fontId="18" fillId="0" borderId="1" xfId="0" applyNumberFormat="1" applyFont="1" applyBorder="1" applyAlignment="1">
      <alignment horizontal="center" vertical="center" wrapText="1"/>
    </xf>
    <xf numFmtId="0" fontId="20" fillId="3" borderId="1" xfId="0" applyFont="1" applyFill="1" applyBorder="1" applyAlignment="1">
      <alignment vertical="center" wrapText="1"/>
    </xf>
    <xf numFmtId="4" fontId="18" fillId="9" borderId="1" xfId="0" applyNumberFormat="1" applyFont="1" applyFill="1" applyBorder="1" applyAlignment="1">
      <alignment horizontal="center" vertical="center" wrapText="1"/>
    </xf>
    <xf numFmtId="0" fontId="20" fillId="8" borderId="1" xfId="0" applyFont="1" applyFill="1" applyBorder="1" applyAlignment="1">
      <alignment vertical="center" wrapText="1"/>
    </xf>
    <xf numFmtId="0" fontId="18" fillId="9" borderId="1" xfId="0" applyFont="1" applyFill="1" applyBorder="1" applyAlignment="1">
      <alignment horizontal="justify" vertical="center" wrapText="1"/>
    </xf>
    <xf numFmtId="0" fontId="20" fillId="0" borderId="1" xfId="0" applyFont="1" applyBorder="1" applyAlignment="1">
      <alignment vertical="center" wrapText="1"/>
    </xf>
    <xf numFmtId="0" fontId="21" fillId="0" borderId="1" xfId="0" applyFont="1" applyBorder="1" applyAlignment="1">
      <alignment horizontal="right" vertical="center" wrapText="1"/>
    </xf>
    <xf numFmtId="4" fontId="21" fillId="0" borderId="1" xfId="0" applyNumberFormat="1" applyFont="1" applyBorder="1" applyAlignment="1">
      <alignment vertical="center" wrapText="1"/>
    </xf>
    <xf numFmtId="0" fontId="21" fillId="0" borderId="1" xfId="0" applyFont="1" applyBorder="1" applyAlignment="1">
      <alignment horizontal="center" vertical="center" wrapText="1"/>
    </xf>
    <xf numFmtId="4" fontId="21" fillId="0" borderId="1" xfId="0" applyNumberFormat="1" applyFont="1" applyBorder="1" applyAlignment="1">
      <alignment horizontal="justify" vertical="center" wrapText="1"/>
    </xf>
    <xf numFmtId="0" fontId="20" fillId="10" borderId="1" xfId="0" applyFont="1" applyFill="1" applyBorder="1" applyAlignment="1">
      <alignment vertical="center" wrapText="1"/>
    </xf>
    <xf numFmtId="0" fontId="18" fillId="0" borderId="1" xfId="0" applyFont="1" applyBorder="1" applyAlignment="1">
      <alignment vertical="center" wrapText="1"/>
    </xf>
    <xf numFmtId="0" fontId="18" fillId="0" borderId="1" xfId="0" applyFont="1" applyBorder="1" applyAlignment="1">
      <alignment horizontal="justify" vertical="center" wrapText="1"/>
    </xf>
    <xf numFmtId="0" fontId="16" fillId="4" borderId="1" xfId="0" applyFont="1" applyFill="1" applyBorder="1" applyAlignment="1">
      <alignment horizontal="left" vertical="center" wrapText="1"/>
    </xf>
    <xf numFmtId="0" fontId="18" fillId="4" borderId="1" xfId="0" applyFont="1" applyFill="1" applyBorder="1" applyAlignment="1">
      <alignment vertical="center" wrapText="1"/>
    </xf>
    <xf numFmtId="4" fontId="18" fillId="4" borderId="1" xfId="0" applyNumberFormat="1" applyFont="1" applyFill="1" applyBorder="1" applyAlignment="1">
      <alignment vertical="center" wrapText="1"/>
    </xf>
    <xf numFmtId="0" fontId="18" fillId="4" borderId="1" xfId="0" applyFont="1" applyFill="1" applyBorder="1" applyAlignment="1">
      <alignment horizontal="center" vertical="center" wrapText="1"/>
    </xf>
    <xf numFmtId="4" fontId="18" fillId="7" borderId="1" xfId="0" applyNumberFormat="1" applyFont="1" applyFill="1" applyBorder="1" applyAlignment="1">
      <alignment horizontal="justify" vertical="center" wrapText="1"/>
    </xf>
  </cellXfs>
  <cellStyles count="4">
    <cellStyle name="常规" xfId="0" builtinId="0"/>
    <cellStyle name="Accent1" xfId="1"/>
    <cellStyle name="千位分隔" xfId="2" builtinId="3"/>
    <cellStyle name="Hyperlink" xfId="3"/>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www.wps.cn/officeDocument/2020/cellImage" Target="cellimages.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_rels/vmlDrawing7.vml.rels><?xml version="1.0" encoding="UTF-8" standalone="yes"?>
<Relationships xmlns="http://schemas.openxmlformats.org/package/2006/relationships"><Relationship Id="rId1" Type="http://schemas.openxmlformats.org/officeDocument/2006/relationships/image" Target="../media/image0.emf"/></Relationships>
</file>

<file path=xl/drawings/drawing7.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552245</xdr:colOff>
      <xdr:row>1</xdr:row>
      <xdr:rowOff>0</xdr:rowOff>
    </xdr:to>
    <xdr:sp macro="" textlink="">
      <xdr:nvSpPr>
        <xdr:cNvPr id="2" name="_x0000_s7169" descr=" " hidden="1"/>
        <xdr:cNvSpPr/>
      </xdr:nvSpPr>
      <xdr:spPr>
        <a:xfrm>
          <a:off x="3234917" y="0"/>
          <a:ext cx="1452062" cy="184126"/>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dahir374@outlook.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7.vml"/><Relationship Id="rId3" Type="http://schemas.openxmlformats.org/officeDocument/2006/relationships/oleObject" Target="../embeddings/oleObject0.bin"/><Relationship Id="rId4" Type="http://schemas.openxmlformats.org/officeDocument/2006/relationships/image" Target="../media/image0.emf"/></Relationships>
</file>

<file path=xl/worksheets/sheet1.xml><?xml version="1.0" encoding="utf-8"?>
<worksheet xmlns:r="http://schemas.openxmlformats.org/officeDocument/2006/relationships" xmlns="http://schemas.openxmlformats.org/spreadsheetml/2006/main">
  <dimension ref="A1:B1"/>
  <sheetViews>
    <sheetView workbookViewId="0">
      <selection activeCell="A1" sqref="A1"/>
    </sheetView>
  </sheetViews>
  <sheetFormatPr defaultRowHeight="14.5" defaultColWidth="10"/>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15"/>
  <sheetViews>
    <sheetView workbookViewId="0" topLeftCell="A5" zoomScale="70">
      <selection activeCell="J13" sqref="J13"/>
    </sheetView>
  </sheetViews>
  <sheetFormatPr defaultRowHeight="14.5" defaultColWidth="10"/>
  <cols>
    <col min="1" max="1" customWidth="1" width="13.363281" style="0"/>
    <col min="3" max="3" customWidth="1" width="17.453125" style="0"/>
    <col min="4" max="4" customWidth="1" bestFit="1" width="16.453125" style="0"/>
    <col min="5" max="5" customWidth="1" bestFit="1" width="14.542969" style="0"/>
    <col min="6" max="6" customWidth="1" bestFit="1" width="17.363281" style="0"/>
    <col min="7" max="7" customWidth="1" width="17.816406" style="0"/>
    <col min="8" max="8" customWidth="1" width="18.632812" style="1"/>
  </cols>
  <sheetData>
    <row r="1" spans="8:8">
      <c r="A1" s="2" t="s">
        <v>57</v>
      </c>
      <c r="B1" s="2" t="s">
        <v>50</v>
      </c>
      <c r="C1" s="2" t="s">
        <v>58</v>
      </c>
      <c r="D1" s="3" t="s">
        <v>45</v>
      </c>
      <c r="E1" s="4" t="s">
        <v>46</v>
      </c>
      <c r="F1" s="4" t="s">
        <v>59</v>
      </c>
      <c r="G1" s="5" t="s">
        <v>60</v>
      </c>
      <c r="H1" s="3" t="s">
        <v>61</v>
      </c>
    </row>
    <row r="2" spans="8:8" ht="84.5" customHeight="1">
      <c r="A2" s="6" t="s">
        <v>62</v>
      </c>
      <c r="B2" s="6" t="s">
        <v>63</v>
      </c>
      <c r="C2" s="6" t="s">
        <v>93</v>
      </c>
      <c r="D2" s="7" t="s">
        <v>64</v>
      </c>
      <c r="E2" s="8">
        <v>0.0</v>
      </c>
      <c r="F2" s="8">
        <v>6759407.0</v>
      </c>
      <c r="G2" s="9" t="s">
        <v>65</v>
      </c>
      <c r="H2" s="6" t="s">
        <v>94</v>
      </c>
    </row>
    <row r="3" spans="8:8" ht="72.5">
      <c r="A3" s="6" t="s">
        <v>67</v>
      </c>
      <c r="B3" s="6" t="s">
        <v>68</v>
      </c>
      <c r="C3" s="6"/>
      <c r="D3" s="7" t="s">
        <v>69</v>
      </c>
      <c r="E3" s="8">
        <v>0.0</v>
      </c>
      <c r="F3" s="8" t="s">
        <v>69</v>
      </c>
      <c r="G3" s="9" t="s">
        <v>66</v>
      </c>
      <c r="H3" s="6" t="s">
        <v>94</v>
      </c>
    </row>
    <row r="4" spans="8:8" ht="72.5">
      <c r="A4" s="6" t="s">
        <v>67</v>
      </c>
      <c r="B4" s="6" t="s">
        <v>68</v>
      </c>
      <c r="C4" s="6"/>
      <c r="D4" s="7" t="s">
        <v>70</v>
      </c>
      <c r="E4" s="8"/>
      <c r="F4" s="8" t="s">
        <v>71</v>
      </c>
      <c r="G4" s="9" t="s">
        <v>66</v>
      </c>
      <c r="H4" s="6" t="s">
        <v>94</v>
      </c>
    </row>
    <row r="5" spans="8:8" ht="159.5">
      <c r="A5" s="6" t="s">
        <v>72</v>
      </c>
      <c r="B5" s="6" t="s">
        <v>73</v>
      </c>
      <c r="C5" s="6">
        <v>7.32443988E8</v>
      </c>
      <c r="D5" s="7" t="s">
        <v>74</v>
      </c>
      <c r="E5" s="8">
        <v>0.0</v>
      </c>
      <c r="F5" s="8">
        <v>621000.0</v>
      </c>
      <c r="G5" s="9" t="s">
        <v>75</v>
      </c>
      <c r="H5" s="6" t="s">
        <v>76</v>
      </c>
    </row>
    <row r="6" spans="8:8" ht="78.0">
      <c r="A6" s="10" t="s">
        <v>77</v>
      </c>
      <c r="B6" s="11" t="s">
        <v>78</v>
      </c>
      <c r="C6" s="11">
        <v>7.12031947E8</v>
      </c>
      <c r="D6" s="11" t="s">
        <v>79</v>
      </c>
      <c r="E6" s="12">
        <v>0.0</v>
      </c>
      <c r="F6" s="13">
        <v>562000.0</v>
      </c>
      <c r="G6" s="11" t="s">
        <v>100</v>
      </c>
      <c r="H6" s="11" t="s">
        <v>101</v>
      </c>
    </row>
    <row r="7" spans="8:8" ht="124.5">
      <c r="A7" s="10" t="s">
        <v>80</v>
      </c>
      <c r="B7" s="11" t="s">
        <v>81</v>
      </c>
      <c r="C7" s="11" t="s">
        <v>95</v>
      </c>
      <c r="D7" s="11" t="s">
        <v>83</v>
      </c>
      <c r="E7" s="12">
        <v>0.0</v>
      </c>
      <c r="F7" s="13" t="s">
        <v>83</v>
      </c>
      <c r="G7" s="11" t="s">
        <v>84</v>
      </c>
      <c r="H7" s="11"/>
    </row>
    <row r="8" spans="8:8" ht="29.5" hidden="1" customHeight="1">
      <c r="A8" s="10"/>
      <c r="B8" s="10"/>
      <c r="C8" s="14" t="s">
        <v>82</v>
      </c>
      <c r="D8" s="10"/>
      <c r="E8" s="15"/>
      <c r="F8" s="10"/>
      <c r="G8" s="10"/>
      <c r="H8" s="16"/>
    </row>
    <row r="9" spans="8:8" ht="31.5">
      <c r="A9" s="10" t="s">
        <v>85</v>
      </c>
      <c r="B9" s="11" t="s">
        <v>86</v>
      </c>
      <c r="C9" s="17" t="s">
        <v>87</v>
      </c>
      <c r="D9" s="11" t="s">
        <v>88</v>
      </c>
      <c r="E9" s="18">
        <v>69832.0</v>
      </c>
      <c r="F9" s="11">
        <v>0.0</v>
      </c>
      <c r="G9" s="11" t="s">
        <v>97</v>
      </c>
      <c r="H9" s="19" t="s">
        <v>97</v>
      </c>
    </row>
    <row r="10" spans="8:8" ht="15.5" customHeight="1">
      <c r="A10" s="20" t="s">
        <v>89</v>
      </c>
      <c r="B10" s="20" t="s">
        <v>90</v>
      </c>
      <c r="C10" s="21">
        <v>7.25290479E8</v>
      </c>
      <c r="D10" s="20" t="s">
        <v>91</v>
      </c>
      <c r="E10" s="22">
        <v>50000.0</v>
      </c>
      <c r="F10" s="23">
        <v>415302.0</v>
      </c>
      <c r="G10" s="20" t="s">
        <v>98</v>
      </c>
      <c r="H10" s="24" t="s">
        <v>99</v>
      </c>
      <c r="J10" t="s">
        <v>102</v>
      </c>
    </row>
    <row r="11" spans="8:8" ht="15.5">
      <c r="A11" s="25"/>
      <c r="B11" s="25"/>
      <c r="C11" s="21">
        <v>7.35174579E8</v>
      </c>
      <c r="D11" s="25"/>
      <c r="E11" s="26"/>
      <c r="F11" s="27"/>
      <c r="G11" s="25"/>
      <c r="H11" s="28"/>
    </row>
    <row r="12" spans="8:8" ht="15.5">
      <c r="A12" s="25"/>
      <c r="B12" s="25"/>
      <c r="C12" s="21">
        <v>7.22895407E8</v>
      </c>
      <c r="D12" s="25"/>
      <c r="E12" s="26"/>
      <c r="F12" s="27"/>
      <c r="G12" s="25"/>
      <c r="H12" s="28"/>
    </row>
    <row r="13" spans="8:8" ht="76.0" customHeight="1">
      <c r="A13" s="29"/>
      <c r="B13" s="29"/>
      <c r="C13" s="17" t="s">
        <v>96</v>
      </c>
      <c r="D13" s="29"/>
      <c r="E13" s="30"/>
      <c r="F13" s="31"/>
      <c r="G13" s="29"/>
      <c r="H13" s="32"/>
    </row>
    <row r="14" spans="8:8" ht="16.0">
      <c r="A14" s="33" t="s">
        <v>92</v>
      </c>
      <c r="B14" s="34"/>
      <c r="C14" s="34"/>
      <c r="D14" s="35"/>
      <c r="E14" s="35"/>
      <c r="F14" s="35"/>
      <c r="G14" s="34"/>
      <c r="H14" s="34"/>
    </row>
    <row r="15" spans="8:8">
      <c r="A15" s="36"/>
    </row>
  </sheetData>
  <mergeCells count="7">
    <mergeCell ref="G10:G13"/>
    <mergeCell ref="H10:H13"/>
    <mergeCell ref="E10:E13"/>
    <mergeCell ref="F10:F13"/>
    <mergeCell ref="A10:A13"/>
    <mergeCell ref="B10:B13"/>
    <mergeCell ref="D10:D13"/>
  </mergeCells>
  <hyperlinks>
    <hyperlink ref="C8" r:id="rId1"/>
  </hyperlinks>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B1"/>
  <sheetViews>
    <sheetView tabSelected="1" workbookViewId="0">
      <selection activeCell="A1" sqref="A1"/>
    </sheetView>
  </sheetViews>
  <sheetFormatPr defaultRowHeight="14.5" defaultColWidth="10"/>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B1"/>
  <sheetViews>
    <sheetView workbookViewId="0">
      <selection activeCell="H19" sqref="H19"/>
    </sheetView>
  </sheetViews>
  <sheetFormatPr defaultRowHeight="14.5" defaultColWidth="10"/>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B1"/>
  <sheetViews>
    <sheetView workbookViewId="0">
      <selection activeCell="A1" sqref="A1"/>
    </sheetView>
  </sheetViews>
  <sheetFormatPr defaultRowHeight="14.5" defaultColWidth="10"/>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V22"/>
  <sheetViews>
    <sheetView workbookViewId="0" topLeftCell="B1">
      <selection activeCell="G3" sqref="G3"/>
    </sheetView>
  </sheetViews>
  <sheetFormatPr defaultRowHeight="14.5" defaultColWidth="10"/>
  <cols>
    <col min="1" max="1" customWidth="1" bestFit="1" width="10.453125" style="37"/>
    <col min="2" max="2" customWidth="1" width="25.269531" style="37"/>
    <col min="3" max="3" customWidth="1" width="14.0" style="37"/>
    <col min="4" max="4" customWidth="1" width="13.816406" style="37"/>
    <col min="5" max="5" customWidth="1" bestFit="1" width="13.816406" style="37"/>
    <col min="6" max="6" customWidth="1" width="11.7265625" style="37"/>
    <col min="7" max="8" customWidth="1" width="13.816406" style="37"/>
    <col min="9" max="9" customWidth="1" width="13.7265625" style="37"/>
    <col min="10" max="10" customWidth="1" bestFit="1" width="18.0" style="37"/>
    <col min="11" max="11" customWidth="1" bestFit="1" width="24.0" style="37"/>
    <col min="12" max="12" customWidth="0" width="8.7265625" style="38"/>
    <col min="13" max="21" customWidth="0" width="8.7265625" style="39"/>
    <col min="22" max="16384" customWidth="0" width="8.7265625" style="37"/>
  </cols>
  <sheetData>
    <row r="1" spans="8:8" ht="58.0">
      <c r="A1" s="2" t="s">
        <v>0</v>
      </c>
      <c r="B1" s="2" t="s">
        <v>1</v>
      </c>
      <c r="C1" s="2" t="s">
        <v>3</v>
      </c>
      <c r="D1" s="3" t="s">
        <v>50</v>
      </c>
      <c r="E1" s="4" t="s">
        <v>2</v>
      </c>
      <c r="F1" s="4" t="s">
        <v>47</v>
      </c>
      <c r="G1" s="5" t="s">
        <v>48</v>
      </c>
      <c r="H1" s="5" t="s">
        <v>107</v>
      </c>
      <c r="I1" s="2" t="s">
        <v>49</v>
      </c>
      <c r="J1" s="2" t="s">
        <v>51</v>
      </c>
      <c r="K1" s="2" t="s">
        <v>52</v>
      </c>
    </row>
    <row r="2" spans="8:8" s="40" ht="14.5" customFormat="1">
      <c r="A2" s="41" t="s">
        <v>4</v>
      </c>
      <c r="B2" s="42" t="s">
        <v>5</v>
      </c>
      <c r="C2" s="41">
        <v>7.27774208E8</v>
      </c>
      <c r="D2" s="41" t="s">
        <v>6</v>
      </c>
      <c r="E2" s="43" t="s">
        <v>110</v>
      </c>
      <c r="F2" s="43" t="str">
        <f>E2</f>
        <v>113, 452.90</v>
      </c>
      <c r="G2" s="43"/>
      <c r="H2" s="43"/>
      <c r="I2" s="41" t="s">
        <v>108</v>
      </c>
      <c r="J2" s="40" t="s">
        <v>108</v>
      </c>
      <c r="K2" s="40" t="s">
        <v>103</v>
      </c>
      <c r="L2" s="38"/>
      <c r="M2" s="39"/>
      <c r="N2" s="39"/>
      <c r="O2" s="39"/>
      <c r="P2" s="39"/>
      <c r="Q2" s="39"/>
      <c r="R2" s="39"/>
      <c r="S2" s="39"/>
      <c r="T2" s="39"/>
      <c r="U2" s="39"/>
    </row>
    <row r="3" spans="8:8" ht="43.5">
      <c r="A3" s="44" t="s">
        <v>7</v>
      </c>
      <c r="B3" s="45" t="s">
        <v>8</v>
      </c>
      <c r="C3" s="44"/>
      <c r="D3" s="44"/>
      <c r="E3" s="46">
        <v>345633.0</v>
      </c>
      <c r="F3" s="46"/>
      <c r="G3" s="46">
        <f t="shared" si="0" ref="G3:H19">E3-F3</f>
        <v>345633.0</v>
      </c>
      <c r="H3" s="46"/>
      <c r="I3" s="47" t="s">
        <v>9</v>
      </c>
      <c r="J3" s="37" t="s">
        <v>53</v>
      </c>
      <c r="K3" s="48" t="s">
        <v>54</v>
      </c>
    </row>
    <row r="4" spans="8:8" s="49" ht="14.5" customFormat="1">
      <c r="A4" s="50" t="s">
        <v>10</v>
      </c>
      <c r="B4" s="47" t="s">
        <v>11</v>
      </c>
      <c r="C4" s="50"/>
      <c r="D4" s="50"/>
      <c r="E4" s="51">
        <v>493371.18</v>
      </c>
      <c r="F4" s="51"/>
      <c r="G4" s="51">
        <f t="shared" si="0"/>
        <v>493371.18</v>
      </c>
      <c r="H4" s="51"/>
      <c r="I4" s="47"/>
      <c r="J4" s="49" t="s">
        <v>53</v>
      </c>
      <c r="K4" s="49" t="s">
        <v>55</v>
      </c>
      <c r="L4" s="38"/>
      <c r="M4" s="39"/>
      <c r="N4" s="39"/>
      <c r="O4" s="39"/>
      <c r="P4" s="39"/>
      <c r="Q4" s="39"/>
      <c r="R4" s="39"/>
      <c r="S4" s="39"/>
      <c r="T4" s="39"/>
      <c r="U4" s="39"/>
    </row>
    <row r="5" spans="8:8" s="49" ht="14.5" customFormat="1">
      <c r="A5" s="50" t="s">
        <v>12</v>
      </c>
      <c r="B5" s="47" t="s">
        <v>11</v>
      </c>
      <c r="C5" s="50"/>
      <c r="D5" s="50"/>
      <c r="E5" s="51">
        <v>1386134.9100000001</v>
      </c>
      <c r="F5" s="51"/>
      <c r="G5" s="51">
        <f t="shared" si="0"/>
        <v>1386134.91</v>
      </c>
      <c r="H5" s="51"/>
      <c r="I5" s="47"/>
      <c r="J5" s="49" t="s">
        <v>53</v>
      </c>
      <c r="K5" s="49" t="s">
        <v>55</v>
      </c>
      <c r="L5" s="38"/>
      <c r="M5" s="39"/>
      <c r="N5" s="39"/>
      <c r="O5" s="39"/>
      <c r="P5" s="39"/>
      <c r="Q5" s="39"/>
      <c r="R5" s="39"/>
      <c r="S5" s="39"/>
      <c r="T5" s="39"/>
      <c r="U5" s="39"/>
    </row>
    <row r="6" spans="8:8" ht="43.5">
      <c r="A6" s="52" t="s">
        <v>13</v>
      </c>
      <c r="B6" s="53" t="s">
        <v>14</v>
      </c>
      <c r="C6" s="52"/>
      <c r="D6" s="52"/>
      <c r="E6" s="54">
        <v>1371331.73</v>
      </c>
      <c r="F6" s="54"/>
      <c r="G6" s="46">
        <f t="shared" si="0"/>
        <v>1371331.73</v>
      </c>
      <c r="H6" s="46"/>
      <c r="I6" s="47" t="s">
        <v>15</v>
      </c>
      <c r="J6" s="37" t="s">
        <v>53</v>
      </c>
      <c r="K6" s="48" t="s">
        <v>54</v>
      </c>
    </row>
    <row r="7" spans="8:8" ht="43.5">
      <c r="A7" s="52" t="s">
        <v>16</v>
      </c>
      <c r="B7" s="53" t="s">
        <v>17</v>
      </c>
      <c r="C7" s="52"/>
      <c r="D7" s="52"/>
      <c r="E7" s="54">
        <v>1594176.06</v>
      </c>
      <c r="F7" s="54"/>
      <c r="G7" s="46">
        <f t="shared" si="0"/>
        <v>1594176.06</v>
      </c>
      <c r="H7" s="46"/>
      <c r="I7" s="47" t="s">
        <v>15</v>
      </c>
      <c r="J7" s="37" t="s">
        <v>53</v>
      </c>
      <c r="K7" s="48" t="s">
        <v>54</v>
      </c>
    </row>
    <row r="8" spans="8:8" s="40" ht="29.0" customFormat="1">
      <c r="A8" s="41" t="s">
        <v>18</v>
      </c>
      <c r="B8" s="42" t="s">
        <v>19</v>
      </c>
      <c r="C8" s="41" t="s">
        <v>20</v>
      </c>
      <c r="D8" s="41" t="s">
        <v>21</v>
      </c>
      <c r="E8" s="43">
        <v>34596.59</v>
      </c>
      <c r="F8" s="43"/>
      <c r="G8" s="43">
        <f t="shared" si="0"/>
        <v>34596.59</v>
      </c>
      <c r="H8" s="43">
        <f>G8</f>
        <v>34596.59</v>
      </c>
      <c r="I8" s="42"/>
      <c r="J8" s="40" t="s">
        <v>56</v>
      </c>
      <c r="K8" s="55" t="s">
        <v>104</v>
      </c>
      <c r="L8" s="38"/>
      <c r="M8" s="39"/>
      <c r="N8" s="39"/>
      <c r="O8" s="39"/>
      <c r="P8" s="39"/>
      <c r="Q8" s="39"/>
      <c r="R8" s="39"/>
      <c r="S8" s="39"/>
      <c r="T8" s="39"/>
      <c r="U8" s="39"/>
    </row>
    <row r="9" spans="8:8" s="40" ht="29.0" customFormat="1">
      <c r="A9" s="41" t="s">
        <v>22</v>
      </c>
      <c r="B9" s="42" t="s">
        <v>23</v>
      </c>
      <c r="C9" s="41" t="s">
        <v>24</v>
      </c>
      <c r="D9" s="41" t="s">
        <v>25</v>
      </c>
      <c r="E9" s="43">
        <v>98532.16</v>
      </c>
      <c r="F9" s="43"/>
      <c r="G9" s="43">
        <f t="shared" si="0"/>
        <v>98532.16</v>
      </c>
      <c r="H9" s="43">
        <f>G9</f>
        <v>98532.16</v>
      </c>
      <c r="I9" s="42"/>
      <c r="J9" s="40" t="s">
        <v>56</v>
      </c>
      <c r="K9" s="40" t="s">
        <v>105</v>
      </c>
      <c r="L9" s="38"/>
      <c r="M9" s="39"/>
      <c r="N9" s="39"/>
      <c r="O9" s="39"/>
      <c r="P9" s="39"/>
      <c r="Q9" s="39"/>
      <c r="R9" s="39"/>
      <c r="S9" s="39"/>
      <c r="T9" s="39"/>
      <c r="U9" s="39"/>
    </row>
    <row r="10" spans="8:8" s="40" ht="14.5" customFormat="1">
      <c r="A10" s="41" t="s">
        <v>26</v>
      </c>
      <c r="B10" s="42" t="s">
        <v>27</v>
      </c>
      <c r="C10" s="41" t="s">
        <v>28</v>
      </c>
      <c r="D10" s="56" t="s">
        <v>29</v>
      </c>
      <c r="E10" s="43">
        <v>49999.99</v>
      </c>
      <c r="F10" s="43"/>
      <c r="G10" s="43">
        <f t="shared" si="0"/>
        <v>49999.99</v>
      </c>
      <c r="H10" s="43">
        <f>G10</f>
        <v>49999.99</v>
      </c>
      <c r="I10" s="42"/>
      <c r="J10" s="40" t="s">
        <v>56</v>
      </c>
      <c r="K10" s="40" t="s">
        <v>109</v>
      </c>
      <c r="L10" s="38"/>
      <c r="M10" s="39"/>
      <c r="N10" s="39"/>
      <c r="O10" s="39"/>
      <c r="P10" s="39"/>
      <c r="Q10" s="39"/>
      <c r="R10" s="39"/>
      <c r="S10" s="39"/>
      <c r="T10" s="39"/>
      <c r="U10" s="39"/>
    </row>
    <row r="11" spans="8:8" s="40" ht="14.5" customFormat="1">
      <c r="A11" s="41" t="s">
        <v>26</v>
      </c>
      <c r="B11" s="41" t="s">
        <v>27</v>
      </c>
      <c r="C11" s="41" t="s">
        <v>28</v>
      </c>
      <c r="D11" s="56" t="s">
        <v>29</v>
      </c>
      <c r="E11" s="43">
        <v>6556803.0</v>
      </c>
      <c r="F11" s="43"/>
      <c r="G11" s="43">
        <v>6556803.0</v>
      </c>
      <c r="H11" s="43">
        <v>6556803.0</v>
      </c>
      <c r="I11" s="42"/>
      <c r="J11" s="40" t="s">
        <v>56</v>
      </c>
      <c r="K11" s="40" t="s">
        <v>109</v>
      </c>
      <c r="L11" s="38"/>
      <c r="M11" s="39"/>
      <c r="N11" s="39"/>
      <c r="O11" s="39"/>
      <c r="P11" s="39"/>
      <c r="Q11" s="39"/>
      <c r="R11" s="39"/>
      <c r="S11" s="39"/>
      <c r="T11" s="39"/>
      <c r="U11" s="39"/>
    </row>
    <row r="12" spans="8:8" ht="43.5">
      <c r="A12" s="52" t="s">
        <v>30</v>
      </c>
      <c r="B12" s="53" t="s">
        <v>31</v>
      </c>
      <c r="C12" s="52"/>
      <c r="D12" s="52"/>
      <c r="E12" s="54">
        <v>2038551.67</v>
      </c>
      <c r="F12" s="54"/>
      <c r="G12" s="46">
        <f t="shared" si="0"/>
        <v>2038551.67</v>
      </c>
      <c r="H12" s="46"/>
      <c r="I12" s="47"/>
      <c r="J12" s="37" t="s">
        <v>53</v>
      </c>
      <c r="K12" s="48" t="s">
        <v>54</v>
      </c>
    </row>
    <row r="13" spans="8:8" ht="43.5">
      <c r="A13" s="52" t="s">
        <v>32</v>
      </c>
      <c r="B13" s="53" t="s">
        <v>33</v>
      </c>
      <c r="C13" s="52"/>
      <c r="D13" s="52"/>
      <c r="E13" s="54">
        <v>188361.53999999998</v>
      </c>
      <c r="F13" s="54"/>
      <c r="G13" s="46">
        <f t="shared" si="0"/>
        <v>188361.54</v>
      </c>
      <c r="H13" s="46"/>
      <c r="I13" s="47"/>
      <c r="J13" s="37" t="s">
        <v>53</v>
      </c>
      <c r="K13" s="48" t="s">
        <v>54</v>
      </c>
    </row>
    <row r="14" spans="8:8" ht="43.5">
      <c r="A14" s="52" t="s">
        <v>34</v>
      </c>
      <c r="B14" s="53" t="s">
        <v>33</v>
      </c>
      <c r="C14" s="52"/>
      <c r="D14" s="52"/>
      <c r="E14" s="54">
        <v>1994155.57</v>
      </c>
      <c r="F14" s="54"/>
      <c r="G14" s="46">
        <f t="shared" si="0"/>
        <v>1994155.57</v>
      </c>
      <c r="H14" s="46"/>
      <c r="I14" s="47"/>
      <c r="J14" s="37" t="s">
        <v>53</v>
      </c>
      <c r="K14" s="48" t="s">
        <v>54</v>
      </c>
    </row>
    <row r="15" spans="8:8" s="40" ht="29.0" customFormat="1">
      <c r="A15" s="41" t="s">
        <v>35</v>
      </c>
      <c r="B15" s="42" t="s">
        <v>36</v>
      </c>
      <c r="C15" s="41" t="s">
        <v>37</v>
      </c>
      <c r="D15" s="41" t="s">
        <v>38</v>
      </c>
      <c r="E15" s="43">
        <v>116663.25</v>
      </c>
      <c r="F15" s="43"/>
      <c r="G15" s="43">
        <f t="shared" si="0"/>
        <v>116663.25</v>
      </c>
      <c r="H15" s="43">
        <f t="shared" si="0"/>
        <v>-116663.25</v>
      </c>
      <c r="I15" s="42"/>
      <c r="J15" s="40" t="s">
        <v>56</v>
      </c>
      <c r="K15" s="55" t="s">
        <v>106</v>
      </c>
      <c r="L15" s="38"/>
      <c r="M15" s="39"/>
      <c r="N15" s="39"/>
      <c r="O15" s="39"/>
      <c r="P15" s="39"/>
      <c r="Q15" s="39"/>
      <c r="R15" s="39"/>
      <c r="S15" s="39"/>
      <c r="T15" s="39"/>
      <c r="U15" s="39"/>
    </row>
    <row r="16" spans="8:8" ht="43.5">
      <c r="A16" s="52" t="s">
        <v>39</v>
      </c>
      <c r="B16" s="53" t="s">
        <v>40</v>
      </c>
      <c r="C16" s="52"/>
      <c r="D16" s="52"/>
      <c r="E16" s="54">
        <v>343267.19</v>
      </c>
      <c r="F16" s="54"/>
      <c r="G16" s="46">
        <f t="shared" si="0"/>
        <v>343267.19</v>
      </c>
      <c r="H16" s="46"/>
      <c r="I16" s="47" t="s">
        <v>15</v>
      </c>
      <c r="J16" s="37" t="s">
        <v>53</v>
      </c>
      <c r="K16" s="48" t="s">
        <v>54</v>
      </c>
    </row>
    <row r="17" spans="8:8" ht="43.5">
      <c r="A17" s="52" t="s">
        <v>41</v>
      </c>
      <c r="B17" s="53" t="s">
        <v>42</v>
      </c>
      <c r="C17" s="52"/>
      <c r="D17" s="52"/>
      <c r="E17" s="54">
        <v>1644236.4700000002</v>
      </c>
      <c r="F17" s="54"/>
      <c r="G17" s="46">
        <f t="shared" si="0"/>
        <v>1644236.47</v>
      </c>
      <c r="H17" s="46"/>
      <c r="I17" s="47" t="s">
        <v>15</v>
      </c>
      <c r="J17" s="37" t="s">
        <v>53</v>
      </c>
      <c r="K17" s="48" t="s">
        <v>54</v>
      </c>
    </row>
    <row r="18" spans="8:8" s="40" ht="29.0" customFormat="1">
      <c r="A18" s="50" t="s">
        <v>43</v>
      </c>
      <c r="B18" s="47" t="s">
        <v>44</v>
      </c>
      <c r="C18" s="50"/>
      <c r="D18" s="50"/>
      <c r="E18" s="51">
        <v>54346.0</v>
      </c>
      <c r="F18" s="51"/>
      <c r="G18" s="51">
        <f t="shared" si="0"/>
        <v>54346.0</v>
      </c>
      <c r="H18" s="51"/>
      <c r="I18" s="50"/>
      <c r="J18" s="49" t="s">
        <v>53</v>
      </c>
      <c r="K18" s="49" t="s">
        <v>55</v>
      </c>
      <c r="L18" s="38"/>
      <c r="M18" s="39"/>
      <c r="N18" s="39"/>
      <c r="O18" s="39"/>
      <c r="P18" s="39"/>
      <c r="Q18" s="39"/>
      <c r="R18" s="39"/>
      <c r="S18" s="39"/>
      <c r="T18" s="39"/>
      <c r="U18" s="39"/>
    </row>
    <row r="19" spans="8:8">
      <c r="A19" s="57"/>
      <c r="B19" s="57"/>
      <c r="C19" s="57"/>
      <c r="D19" s="57"/>
      <c r="E19" s="58">
        <f>SUM(E2:E18)</f>
        <v>1.831016031E7</v>
      </c>
      <c r="F19" s="59"/>
      <c r="G19" s="60">
        <f t="shared" si="0"/>
        <v>1.831016031E7</v>
      </c>
      <c r="H19" s="60">
        <f>SUM(H2:H18)</f>
        <v>6623268.49</v>
      </c>
      <c r="I19" s="44"/>
      <c r="J19" s="44"/>
    </row>
    <row r="20" spans="8:8">
      <c r="A20" s="44"/>
      <c r="B20" s="44"/>
      <c r="C20" s="44"/>
      <c r="D20" s="44"/>
      <c r="E20" s="44"/>
      <c r="F20" s="44"/>
      <c r="G20" s="44"/>
      <c r="H20" s="44"/>
      <c r="I20" s="44"/>
      <c r="J20" s="44"/>
    </row>
    <row r="21" spans="8:8">
      <c r="A21" s="44"/>
      <c r="B21" s="44"/>
      <c r="C21" s="44"/>
      <c r="D21" s="44"/>
      <c r="E21" s="44"/>
      <c r="F21" s="44"/>
      <c r="G21" s="44"/>
      <c r="H21" s="44"/>
      <c r="I21" s="44"/>
      <c r="J21" s="44"/>
    </row>
    <row r="22" spans="8:8">
      <c r="A22" s="44"/>
      <c r="B22" s="44"/>
      <c r="C22" s="44"/>
      <c r="D22" s="44"/>
      <c r="E22" s="44"/>
      <c r="F22" s="44"/>
      <c r="G22" s="44"/>
      <c r="H22" s="44"/>
      <c r="I22" s="44"/>
      <c r="J22" s="44"/>
    </row>
  </sheetData>
  <pageMargins left="0.7" right="0.7" top="0.75" bottom="0.75" header="0.3" footer="0.3"/>
</worksheet>
</file>

<file path=xl/worksheets/sheet7.xml><?xml version="1.0" encoding="utf-8"?>
<worksheet xmlns:r="http://schemas.openxmlformats.org/officeDocument/2006/relationships" xmlns="http://schemas.openxmlformats.org/spreadsheetml/2006/main" xmlns:xdr="http://schemas.openxmlformats.org/drawingml/2006/spreadsheetDrawing" xmlns:x14="http://schemas.microsoft.com/office/spreadsheetml/2009/9/main" xmlns:mc="http://schemas.openxmlformats.org/markup-compatibility/2006">
  <dimension ref="A1:I29"/>
  <sheetViews>
    <sheetView workbookViewId="0" topLeftCell="A8">
      <selection activeCell="F12" sqref="F12"/>
    </sheetView>
  </sheetViews>
  <sheetFormatPr defaultRowHeight="14.5" defaultColWidth="10"/>
  <cols>
    <col min="1" max="1" customWidth="1" bestFit="1" width="4.1796875" style="0"/>
    <col min="2" max="2" customWidth="1" width="27.90625" style="0"/>
    <col min="3" max="3" customWidth="1" bestFit="1" width="9.0" style="0"/>
    <col min="4" max="4" customWidth="1" bestFit="1" width="10.363281" style="0"/>
    <col min="5" max="5" customWidth="1" bestFit="1" width="8.089844" style="0"/>
    <col min="6" max="6" customWidth="1" bestFit="1" width="10.363281" style="0"/>
    <col min="7" max="7" customWidth="1" width="19.632812" style="0"/>
    <col min="8" max="8" customWidth="1" width="19.363281" style="0"/>
  </cols>
  <sheetData>
    <row r="1" spans="8:8">
      <c r="A1" s="61"/>
      <c r="B1" s="61"/>
      <c r="C1" s="61"/>
      <c r="D1" s="61"/>
      <c r="E1" s="61"/>
      <c r="F1" s="61"/>
      <c r="G1" s="61"/>
      <c r="H1" s="61"/>
    </row>
    <row r="2" spans="8:8" ht="27.5">
      <c r="A2" s="62" t="s">
        <v>111</v>
      </c>
      <c r="B2" s="62"/>
      <c r="C2" s="62"/>
      <c r="D2" s="62"/>
      <c r="E2" s="62"/>
      <c r="F2" s="62"/>
      <c r="G2" s="62"/>
      <c r="H2" s="62"/>
    </row>
    <row r="3" spans="8:8" ht="20.5">
      <c r="A3" s="63" t="s">
        <v>112</v>
      </c>
      <c r="B3" s="63"/>
      <c r="C3" s="63"/>
      <c r="D3" s="63"/>
      <c r="E3" s="63"/>
      <c r="F3" s="63"/>
      <c r="G3" s="63"/>
      <c r="H3" s="63"/>
    </row>
    <row r="4" spans="8:8" ht="15.0">
      <c r="A4" s="64"/>
      <c r="B4" s="65"/>
      <c r="C4" s="65"/>
      <c r="D4" s="65"/>
      <c r="E4" s="65"/>
      <c r="F4" s="65"/>
      <c r="G4" s="65"/>
      <c r="H4" s="66" t="s">
        <v>113</v>
      </c>
    </row>
    <row r="5" spans="8:8" ht="60.0">
      <c r="A5" s="67" t="s">
        <v>114</v>
      </c>
      <c r="B5" s="68" t="s">
        <v>115</v>
      </c>
      <c r="C5" s="68" t="s">
        <v>116</v>
      </c>
      <c r="D5" s="69" t="s">
        <v>117</v>
      </c>
      <c r="E5" s="69" t="s">
        <v>46</v>
      </c>
      <c r="F5" s="69" t="s">
        <v>59</v>
      </c>
      <c r="G5" s="69" t="s">
        <v>60</v>
      </c>
      <c r="H5" s="70"/>
    </row>
    <row r="6" spans="8:8" ht="108.0">
      <c r="A6" s="71">
        <v>1.0</v>
      </c>
      <c r="B6" s="72" t="s">
        <v>118</v>
      </c>
      <c r="C6" s="73" t="s">
        <v>119</v>
      </c>
      <c r="D6" s="74">
        <v>37025.3</v>
      </c>
      <c r="E6" s="75">
        <v>0.0</v>
      </c>
      <c r="F6" s="76">
        <f>D6-E6</f>
        <v>37025.3</v>
      </c>
      <c r="G6" s="77" t="s">
        <v>120</v>
      </c>
      <c r="H6" s="78" t="s">
        <v>121</v>
      </c>
    </row>
    <row r="7" spans="8:8" ht="67.5">
      <c r="A7" s="79">
        <v>2.0</v>
      </c>
      <c r="B7" s="80" t="s">
        <v>122</v>
      </c>
      <c r="C7" s="81">
        <v>7.2366901E8</v>
      </c>
      <c r="D7" s="82">
        <v>35172.84</v>
      </c>
      <c r="E7" s="83">
        <v>0.0</v>
      </c>
      <c r="F7" s="84">
        <f>D7-E7</f>
        <v>35172.84</v>
      </c>
      <c r="G7" s="85" t="s">
        <v>123</v>
      </c>
      <c r="H7" s="78" t="s">
        <v>124</v>
      </c>
    </row>
    <row r="8" spans="8:8" ht="67.5">
      <c r="A8" s="71">
        <v>3.0</v>
      </c>
      <c r="B8" s="72" t="s">
        <v>125</v>
      </c>
      <c r="C8" s="73" t="s">
        <v>126</v>
      </c>
      <c r="D8" s="74">
        <v>14785.35</v>
      </c>
      <c r="E8" s="75">
        <v>0.0</v>
      </c>
      <c r="F8" s="76">
        <f>D8-E8</f>
        <v>14785.35</v>
      </c>
      <c r="G8" s="85" t="s">
        <v>123</v>
      </c>
      <c r="H8" s="78" t="s">
        <v>124</v>
      </c>
    </row>
    <row r="9" spans="8:8" ht="67.5">
      <c r="A9" s="79">
        <v>4.0</v>
      </c>
      <c r="B9" s="80" t="s">
        <v>127</v>
      </c>
      <c r="C9" s="81" t="s">
        <v>128</v>
      </c>
      <c r="D9" s="82">
        <v>179399.0</v>
      </c>
      <c r="E9" s="83">
        <v>0.0</v>
      </c>
      <c r="F9" s="86">
        <f>D9-E9</f>
        <v>179399.0</v>
      </c>
      <c r="G9" s="87" t="s">
        <v>129</v>
      </c>
      <c r="H9" s="78" t="s">
        <v>130</v>
      </c>
    </row>
    <row r="10" spans="8:8" ht="27.0">
      <c r="A10" s="71">
        <v>5.0</v>
      </c>
      <c r="B10" s="72" t="s">
        <v>131</v>
      </c>
      <c r="C10" s="73">
        <v>7.22818468E8</v>
      </c>
      <c r="D10" s="74">
        <v>50243.0</v>
      </c>
      <c r="E10" s="88">
        <v>5000.0</v>
      </c>
      <c r="F10" s="76">
        <f>D10-E10</f>
        <v>45243.0</v>
      </c>
      <c r="G10" s="87" t="s">
        <v>132</v>
      </c>
      <c r="H10" s="78" t="s">
        <v>133</v>
      </c>
    </row>
    <row r="11" spans="8:8" ht="94.5">
      <c r="A11" s="79">
        <v>6.0</v>
      </c>
      <c r="B11" s="80" t="s">
        <v>134</v>
      </c>
      <c r="C11" s="81">
        <v>7.51782261E8</v>
      </c>
      <c r="D11" s="82">
        <v>345376.0</v>
      </c>
      <c r="E11" s="83">
        <v>0.0</v>
      </c>
      <c r="F11" s="86">
        <f>D11-E11</f>
        <v>345376.0</v>
      </c>
      <c r="G11" s="80" t="s">
        <v>135</v>
      </c>
      <c r="H11" s="89" t="s">
        <v>136</v>
      </c>
    </row>
    <row r="12" spans="8:8" ht="54.0">
      <c r="A12" s="71">
        <v>7.0</v>
      </c>
      <c r="B12" s="72" t="s">
        <v>137</v>
      </c>
      <c r="C12" s="73">
        <v>7.2711902E8</v>
      </c>
      <c r="D12" s="74">
        <v>91897.74</v>
      </c>
      <c r="E12" s="75">
        <v>0.0</v>
      </c>
      <c r="F12" s="76">
        <f>D12-E12</f>
        <v>91897.74</v>
      </c>
      <c r="G12" s="72" t="s">
        <v>138</v>
      </c>
      <c r="H12" s="89" t="s">
        <v>139</v>
      </c>
    </row>
    <row r="13" spans="8:8" s="1" ht="216.0" customFormat="1">
      <c r="A13" s="79">
        <v>8.0</v>
      </c>
      <c r="B13" s="80" t="s">
        <v>140</v>
      </c>
      <c r="C13" s="81">
        <v>7.21549889E8</v>
      </c>
      <c r="D13" s="82">
        <v>1034470.02</v>
      </c>
      <c r="E13" s="90">
        <v>30000.0</v>
      </c>
      <c r="F13" s="86">
        <f t="shared" si="0" ref="F13:F25">D13-E13</f>
        <v>1004470.02</v>
      </c>
      <c r="G13" s="77" t="s">
        <v>141</v>
      </c>
      <c r="H13" s="78" t="s">
        <v>142</v>
      </c>
    </row>
    <row r="14" spans="8:8" ht="27.0">
      <c r="A14" s="71">
        <v>9.0</v>
      </c>
      <c r="B14" s="72" t="s">
        <v>143</v>
      </c>
      <c r="C14" s="73">
        <v>7.24606232E8</v>
      </c>
      <c r="D14" s="74">
        <v>19284.79</v>
      </c>
      <c r="E14" s="88">
        <v>2000.0</v>
      </c>
      <c r="F14" s="76">
        <f t="shared" si="0"/>
        <v>17284.79</v>
      </c>
      <c r="G14" s="87" t="s">
        <v>144</v>
      </c>
      <c r="H14" s="78" t="s">
        <v>133</v>
      </c>
    </row>
    <row r="15" spans="8:8" ht="27.0">
      <c r="A15" s="79">
        <v>10.0</v>
      </c>
      <c r="B15" s="80" t="s">
        <v>145</v>
      </c>
      <c r="C15" s="81">
        <v>7.31382E8</v>
      </c>
      <c r="D15" s="82">
        <v>79649.64</v>
      </c>
      <c r="E15" s="83">
        <v>0.0</v>
      </c>
      <c r="F15" s="86">
        <f t="shared" si="0"/>
        <v>79649.64</v>
      </c>
      <c r="G15" s="80" t="s">
        <v>146</v>
      </c>
      <c r="H15" s="80" t="s">
        <v>146</v>
      </c>
    </row>
    <row r="16" spans="8:8" ht="108.0">
      <c r="A16" s="71">
        <v>11.0</v>
      </c>
      <c r="B16" s="72" t="s">
        <v>147</v>
      </c>
      <c r="C16" s="73" t="s">
        <v>148</v>
      </c>
      <c r="D16" s="74">
        <v>77190.35</v>
      </c>
      <c r="E16" s="75">
        <v>0.0</v>
      </c>
      <c r="F16" s="76">
        <f t="shared" si="0"/>
        <v>77190.35</v>
      </c>
      <c r="G16" s="91" t="s">
        <v>149</v>
      </c>
      <c r="H16" s="78" t="s">
        <v>150</v>
      </c>
    </row>
    <row r="17" spans="8:8">
      <c r="A17" s="71">
        <v>13.0</v>
      </c>
      <c r="B17" s="72" t="s">
        <v>151</v>
      </c>
      <c r="C17" s="73">
        <v>7.21493904E8</v>
      </c>
      <c r="D17" s="74">
        <v>65308.0</v>
      </c>
      <c r="E17" s="75">
        <v>0.0</v>
      </c>
      <c r="F17" s="76">
        <f t="shared" si="0"/>
        <v>65308.0</v>
      </c>
      <c r="G17" s="72" t="s">
        <v>152</v>
      </c>
      <c r="H17" s="78" t="s">
        <v>150</v>
      </c>
    </row>
    <row r="18" spans="8:8" ht="40.5">
      <c r="A18" s="79">
        <v>14.0</v>
      </c>
      <c r="B18" s="80" t="s">
        <v>153</v>
      </c>
      <c r="C18" s="81"/>
      <c r="D18" s="82">
        <v>18528.48</v>
      </c>
      <c r="E18" s="83">
        <v>0.0</v>
      </c>
      <c r="F18" s="92">
        <f t="shared" si="0"/>
        <v>18528.48</v>
      </c>
      <c r="G18" s="80" t="s">
        <v>154</v>
      </c>
      <c r="H18" s="78" t="s">
        <v>155</v>
      </c>
    </row>
    <row r="19" spans="8:8" ht="108.0">
      <c r="A19" s="71">
        <v>15.0</v>
      </c>
      <c r="B19" s="93" t="s">
        <v>156</v>
      </c>
      <c r="C19" s="94">
        <v>7.2332466E8</v>
      </c>
      <c r="D19" s="95">
        <v>374079.0</v>
      </c>
      <c r="E19" s="96">
        <v>0.0</v>
      </c>
      <c r="F19" s="97">
        <f t="shared" si="0"/>
        <v>374079.0</v>
      </c>
      <c r="G19" s="91" t="s">
        <v>157</v>
      </c>
      <c r="H19" s="89" t="s">
        <v>150</v>
      </c>
    </row>
    <row r="20" spans="8:8" ht="27.0">
      <c r="A20" s="79">
        <v>16.0</v>
      </c>
      <c r="B20" s="80" t="s">
        <v>158</v>
      </c>
      <c r="C20" s="81">
        <v>7.25878388E8</v>
      </c>
      <c r="D20" s="82">
        <v>226707.0</v>
      </c>
      <c r="E20" s="83">
        <v>0.0</v>
      </c>
      <c r="F20" s="86">
        <f>D20-E20</f>
        <v>226707.0</v>
      </c>
      <c r="G20" s="80" t="s">
        <v>159</v>
      </c>
      <c r="H20" s="89" t="s">
        <v>150</v>
      </c>
    </row>
    <row r="21" spans="8:8" ht="54.0">
      <c r="A21" s="71">
        <v>17.0</v>
      </c>
      <c r="B21" s="72" t="s">
        <v>160</v>
      </c>
      <c r="C21" s="73">
        <v>7.2902833E8</v>
      </c>
      <c r="D21" s="74">
        <v>5259.0</v>
      </c>
      <c r="E21" s="75">
        <v>0.0</v>
      </c>
      <c r="F21" s="97">
        <f t="shared" si="0"/>
        <v>5259.0</v>
      </c>
      <c r="G21" s="98" t="s">
        <v>161</v>
      </c>
      <c r="H21" s="89" t="s">
        <v>162</v>
      </c>
    </row>
    <row r="22" spans="8:8">
      <c r="A22" s="79">
        <v>18.0</v>
      </c>
      <c r="B22" s="80" t="s">
        <v>163</v>
      </c>
      <c r="C22" s="81">
        <v>7.05551169E8</v>
      </c>
      <c r="D22" s="82">
        <v>3701.0</v>
      </c>
      <c r="E22" s="90">
        <v>3701.0</v>
      </c>
      <c r="F22" s="86">
        <f>D22-E22</f>
        <v>0.0</v>
      </c>
      <c r="G22" s="87" t="s">
        <v>108</v>
      </c>
      <c r="H22" s="89" t="s">
        <v>108</v>
      </c>
    </row>
    <row r="23" spans="8:8" ht="27.0">
      <c r="A23" s="71">
        <v>19.0</v>
      </c>
      <c r="B23" s="72" t="s">
        <v>164</v>
      </c>
      <c r="C23" s="73"/>
      <c r="D23" s="74">
        <v>4383.0</v>
      </c>
      <c r="E23" s="75">
        <v>0.0</v>
      </c>
      <c r="F23" s="76">
        <f t="shared" si="0"/>
        <v>4383.0</v>
      </c>
      <c r="G23" s="93" t="s">
        <v>165</v>
      </c>
      <c r="H23" s="89" t="s">
        <v>165</v>
      </c>
    </row>
    <row r="24" spans="8:8" ht="54.0">
      <c r="A24" s="79">
        <v>20.0</v>
      </c>
      <c r="B24" s="80" t="s">
        <v>166</v>
      </c>
      <c r="C24" s="81">
        <v>7.21426211E8</v>
      </c>
      <c r="D24" s="82">
        <v>10000.0</v>
      </c>
      <c r="E24" s="83">
        <v>0.0</v>
      </c>
      <c r="F24" s="86">
        <f>D24-E24</f>
        <v>10000.0</v>
      </c>
      <c r="G24" s="85" t="s">
        <v>123</v>
      </c>
      <c r="H24" s="89" t="s">
        <v>162</v>
      </c>
    </row>
    <row r="25" spans="8:8" ht="27.0">
      <c r="A25" s="71">
        <v>21.0</v>
      </c>
      <c r="B25" s="72" t="s">
        <v>167</v>
      </c>
      <c r="C25" s="73"/>
      <c r="D25" s="74">
        <v>36273.0</v>
      </c>
      <c r="E25" s="75">
        <v>0.0</v>
      </c>
      <c r="F25" s="76">
        <f t="shared" si="0"/>
        <v>36273.0</v>
      </c>
      <c r="G25" s="93" t="s">
        <v>165</v>
      </c>
      <c r="H25" s="89" t="s">
        <v>165</v>
      </c>
    </row>
    <row r="26" spans="8:8" ht="67.5">
      <c r="A26" s="79">
        <v>22.0</v>
      </c>
      <c r="B26" s="80" t="s">
        <v>168</v>
      </c>
      <c r="C26" s="81">
        <v>7.29465535E8</v>
      </c>
      <c r="D26" s="82">
        <v>46006.0</v>
      </c>
      <c r="E26" s="83">
        <v>0.0</v>
      </c>
      <c r="F26" s="86">
        <f>D26-E26</f>
        <v>46006.0</v>
      </c>
      <c r="G26" s="85" t="s">
        <v>123</v>
      </c>
      <c r="H26" s="89" t="s">
        <v>124</v>
      </c>
    </row>
    <row r="27" spans="8:8">
      <c r="A27" s="71"/>
      <c r="B27" s="72"/>
      <c r="C27" s="99"/>
      <c r="D27" s="99"/>
      <c r="E27" s="75"/>
      <c r="F27" s="100"/>
      <c r="G27" s="72"/>
      <c r="H27" s="72"/>
    </row>
    <row r="28" spans="8:8">
      <c r="A28" s="71"/>
      <c r="B28" s="72"/>
      <c r="C28" s="99"/>
      <c r="D28" s="99"/>
      <c r="E28" s="75"/>
      <c r="F28" s="100"/>
      <c r="G28" s="72"/>
      <c r="H28" s="72"/>
    </row>
    <row r="29" spans="8:8" ht="27.0">
      <c r="A29" s="101"/>
      <c r="B29" s="87" t="s">
        <v>169</v>
      </c>
      <c r="C29" s="102"/>
      <c r="D29" s="103">
        <f>SUM(D6:D28)</f>
        <v>2754738.51</v>
      </c>
      <c r="E29" s="104">
        <f>SUM(E6:E28)</f>
        <v>40701.0</v>
      </c>
      <c r="F29" s="105">
        <f>SUM(F6:F27)</f>
        <v>2714037.51</v>
      </c>
      <c r="G29" s="87"/>
      <c r="H29" s="87"/>
    </row>
  </sheetData>
  <mergeCells count="4">
    <mergeCell ref="A1:H1"/>
    <mergeCell ref="A2:H2"/>
    <mergeCell ref="A3:H3"/>
    <mergeCell ref="H4:H5"/>
  </mergeCells>
  <pageMargins left="0.7" right="0.7" top="0.75" bottom="0.75" header="0.3" footer="0.3"/>
  <drawing r:id="rId1"/>
  <legacyDrawing r:id="rId2"/>
  <oleObjects>
    <mc:AlternateContent xmlns:mc="http://schemas.openxmlformats.org/markup-compatibility/2006">
      <mc:Choice Requires="x14">
        <oleObject progId="PBrush" shapeId="7169" r:id="rId3">
          <objectPr defaultSize="0" r:id="rId4">
            <anchor moveWithCells="1">
              <from>
                <xdr:col>3</xdr:col>
                <xdr:colOff>0</xdr:colOff>
                <xdr:row>0</xdr:row>
                <xdr:rowOff>0</xdr:rowOff>
              </from>
              <to>
                <xdr:col>4</xdr:col>
                <xdr:colOff>552245</xdr:colOff>
                <xdr:row>1</xdr:row>
                <xdr:rowOff>0</xdr:rowOff>
              </to>
            </anchor>
          </objectPr>
        </oleObject>
      </mc:Choice>
      <mc:Fallback>
        <oleObject progId="PBrush" shapeId="7169" r:id="rId3"/>
      </mc:Fallback>
    </mc:AlternateContent>
  </oleObjects>
</worksheet>
</file>

<file path=xl/worksheets/sheet8.xml><?xml version="1.0" encoding="utf-8"?>
<worksheet xmlns:r="http://schemas.openxmlformats.org/officeDocument/2006/relationships" xmlns="http://schemas.openxmlformats.org/spreadsheetml/2006/main">
  <dimension ref="A1:B1"/>
  <sheetViews>
    <sheetView workbookViewId="0">
      <selection activeCell="A1" sqref="A1"/>
    </sheetView>
  </sheetViews>
  <sheetFormatPr defaultRowHeight="14.5" defaultColWidth="10"/>
  <sheetData/>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cp:lastModifiedBy>ADMIN</cp:lastModifiedBy>
  <dcterms:created xsi:type="dcterms:W3CDTF">2025-03-11T00:53:56Z</dcterms:created>
  <dcterms:modified xsi:type="dcterms:W3CDTF">2026-01-14T03:59:28Z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bf641e291aef4b3c9d2ab1f5775fdfc4</vt:lpwstr>
  </property>
</Properties>
</file>