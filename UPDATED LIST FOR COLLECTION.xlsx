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nzu\OneDrive\Desktop\Trackpol\Operations\Wonder Sacco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F17" i="1"/>
  <c r="F14" i="1"/>
  <c r="F13" i="1"/>
  <c r="F12" i="1"/>
  <c r="F11" i="1"/>
  <c r="F10" i="1"/>
  <c r="F9" i="1"/>
  <c r="F8" i="1"/>
  <c r="E7" i="1"/>
  <c r="E22" i="1" s="1"/>
  <c r="F6" i="1"/>
  <c r="F22" i="1" s="1"/>
</calcChain>
</file>

<file path=xl/sharedStrings.xml><?xml version="1.0" encoding="utf-8"?>
<sst xmlns="http://schemas.openxmlformats.org/spreadsheetml/2006/main" count="45" uniqueCount="39">
  <si>
    <t>WONDER SACCO LIMITED</t>
  </si>
  <si>
    <t>ACTION</t>
  </si>
  <si>
    <t>S/N</t>
  </si>
  <si>
    <t>DEBTOR’S NAME</t>
  </si>
  <si>
    <t>CONTACTS/ LOCATION</t>
  </si>
  <si>
    <t>AMOUNT OWING</t>
  </si>
  <si>
    <t>AMOUNT PAID</t>
  </si>
  <si>
    <t>BALANCE</t>
  </si>
  <si>
    <t>COMMENTS</t>
  </si>
  <si>
    <t>MIRIAM ATIENO OMONDI</t>
  </si>
  <si>
    <t>727595349/ 732524150</t>
  </si>
  <si>
    <t>call on friday27th feb 2026.</t>
  </si>
  <si>
    <t>if no payment done then, file in court and apprehend until payment is done</t>
  </si>
  <si>
    <t>VICTORIA MWANZIA</t>
  </si>
  <si>
    <t>she is paying the way she feels like.</t>
  </si>
  <si>
    <t>We will keep you posted.</t>
  </si>
  <si>
    <t>STEPHEN MACHARIA NJERI</t>
  </si>
  <si>
    <t>to pay 10,000 per month</t>
  </si>
  <si>
    <t>making payment by 10th april 2025. we will keep you posted</t>
  </si>
  <si>
    <t xml:space="preserve">SIMON PETER KAMAU MACHARIA </t>
  </si>
  <si>
    <t>making payment</t>
  </si>
  <si>
    <t xml:space="preserve">CATHERINE MWANGANGI KANINI </t>
  </si>
  <si>
    <t>Follow up</t>
  </si>
  <si>
    <t>DENIS KIMATHI MBABU</t>
  </si>
  <si>
    <t>promised payment by Monday 2nd march 29026</t>
  </si>
  <si>
    <t>We need more contacts inorder to follow up</t>
  </si>
  <si>
    <t>LEAH WANJIKU</t>
  </si>
  <si>
    <t>cleared</t>
  </si>
  <si>
    <t>SAMUEL KINGORI MATHENGE</t>
  </si>
  <si>
    <t>awaiting contacts from wonder sacco</t>
  </si>
  <si>
    <t>DAVID OTIA EMURIA</t>
  </si>
  <si>
    <t xml:space="preserve">ADDITIONAL ACCOUNTS </t>
  </si>
  <si>
    <t>MARY</t>
  </si>
  <si>
    <t>723366035/ 0790512786</t>
  </si>
  <si>
    <t>To make payment on Tue 3rd 2026</t>
  </si>
  <si>
    <t>Call them then</t>
  </si>
  <si>
    <t>Total Amount</t>
  </si>
  <si>
    <t>NOTES</t>
  </si>
  <si>
    <r>
      <t>PROGRESSIVE REPORT FOR THE WEEK ENDING 28</t>
    </r>
    <r>
      <rPr>
        <b/>
        <u/>
        <vertAlign val="superscript"/>
        <sz val="16"/>
        <color rgb="FF000000"/>
        <rFont val="Arial"/>
        <family val="2"/>
      </rPr>
      <t>TH</t>
    </r>
    <r>
      <rPr>
        <b/>
        <u/>
        <sz val="16"/>
        <color rgb="FF000000"/>
        <rFont val="Arial"/>
        <family val="2"/>
      </rPr>
      <t xml:space="preserve"> FEBRUARY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</si>
</sst>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2"/>
      <color rgb="FF000000"/>
      <name val="Times New Roman"/>
      <family val="1"/>
    </font>
    <font>
      <b/>
      <u/>
      <sz val="16"/>
      <color rgb="FF000000"/>
      <name val="Arial"/>
      <family val="2"/>
    </font>
    <font>
      <b/>
      <u/>
      <vertAlign val="superscript"/>
      <sz val="16"/>
      <color rgb="FF000000"/>
      <name val="Arial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333333"/>
      <name val="Verdana"/>
      <family val="2"/>
    </font>
    <font>
      <sz val="10"/>
      <color rgb="FF000000"/>
      <name val="Calibri"/>
      <family val="2"/>
    </font>
    <font>
      <sz val="10"/>
      <name val="Verdana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right" vertical="center" wrapText="1"/>
    </xf>
    <xf numFmtId="4" fontId="8" fillId="4" borderId="6" xfId="0" applyNumberFormat="1" applyFont="1" applyFill="1" applyBorder="1" applyAlignment="1">
      <alignment vertical="center" wrapText="1"/>
    </xf>
    <xf numFmtId="3" fontId="8" fillId="4" borderId="6" xfId="0" applyNumberFormat="1" applyFont="1" applyFill="1" applyBorder="1" applyAlignment="1">
      <alignment horizontal="center" vertical="center" wrapText="1"/>
    </xf>
    <xf numFmtId="4" fontId="8" fillId="4" borderId="6" xfId="0" applyNumberFormat="1" applyFont="1" applyFill="1" applyBorder="1" applyAlignment="1">
      <alignment horizontal="justify"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right" vertical="center" wrapText="1"/>
    </xf>
    <xf numFmtId="4" fontId="8" fillId="0" borderId="6" xfId="0" applyNumberFormat="1" applyFont="1" applyBorder="1" applyAlignment="1">
      <alignment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justify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horizontal="right" vertical="center" wrapText="1"/>
    </xf>
    <xf numFmtId="4" fontId="8" fillId="6" borderId="6" xfId="0" applyNumberFormat="1" applyFont="1" applyFill="1" applyBorder="1" applyAlignment="1">
      <alignment vertical="center" wrapText="1"/>
    </xf>
    <xf numFmtId="0" fontId="8" fillId="6" borderId="6" xfId="0" applyFont="1" applyFill="1" applyBorder="1" applyAlignment="1">
      <alignment horizontal="center" vertical="center" wrapText="1"/>
    </xf>
    <xf numFmtId="4" fontId="8" fillId="6" borderId="6" xfId="0" applyNumberFormat="1" applyFont="1" applyFill="1" applyBorder="1" applyAlignment="1">
      <alignment horizontal="justify" vertical="center" wrapText="1"/>
    </xf>
    <xf numFmtId="0" fontId="8" fillId="6" borderId="6" xfId="0" applyFont="1" applyFill="1" applyBorder="1" applyAlignment="1">
      <alignment horizontal="justify" vertical="center" wrapText="1"/>
    </xf>
    <xf numFmtId="4" fontId="8" fillId="4" borderId="6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justify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vertical="center" wrapText="1"/>
    </xf>
    <xf numFmtId="4" fontId="8" fillId="5" borderId="6" xfId="0" applyNumberFormat="1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 wrapText="1"/>
    </xf>
    <xf numFmtId="4" fontId="8" fillId="7" borderId="6" xfId="0" applyNumberFormat="1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4</xdr:col>
      <xdr:colOff>552245</xdr:colOff>
      <xdr:row>1</xdr:row>
      <xdr:rowOff>0</xdr:rowOff>
    </xdr:to>
    <xdr:sp macro="" textlink="">
      <xdr:nvSpPr>
        <xdr:cNvPr id="2" name="_x0000_s7169" descr=" " hidden="1"/>
        <xdr:cNvSpPr/>
      </xdr:nvSpPr>
      <xdr:spPr>
        <a:xfrm>
          <a:off x="2597150" y="0"/>
          <a:ext cx="172064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0</xdr:rowOff>
        </xdr:from>
        <xdr:to>
          <xdr:col>4</xdr:col>
          <xdr:colOff>450850</xdr:colOff>
          <xdr:row>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5"/>
  <sheetViews>
    <sheetView tabSelected="1" topLeftCell="A11" workbookViewId="0">
      <selection activeCell="A19" sqref="A19"/>
    </sheetView>
  </sheetViews>
  <sheetFormatPr defaultRowHeight="14.5" x14ac:dyDescent="0.35"/>
  <cols>
    <col min="1" max="1" width="4.1796875" bestFit="1" customWidth="1"/>
    <col min="2" max="2" width="14.453125" customWidth="1"/>
    <col min="3" max="3" width="14.08984375" customWidth="1"/>
    <col min="4" max="4" width="11.81640625" customWidth="1"/>
    <col min="5" max="5" width="12.7265625" customWidth="1"/>
    <col min="6" max="6" width="13.08984375" customWidth="1"/>
    <col min="7" max="7" width="13.81640625" customWidth="1"/>
    <col min="8" max="8" width="16.08984375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27.5" x14ac:dyDescent="0.35">
      <c r="A2" s="2" t="s">
        <v>0</v>
      </c>
      <c r="B2" s="2"/>
      <c r="C2" s="2"/>
      <c r="D2" s="2"/>
      <c r="E2" s="2"/>
      <c r="F2" s="2"/>
      <c r="G2" s="2"/>
      <c r="H2" s="2"/>
    </row>
    <row r="3" spans="1:8" ht="20.5" thickBot="1" x14ac:dyDescent="0.4">
      <c r="A3" s="3" t="s">
        <v>38</v>
      </c>
      <c r="B3" s="3"/>
      <c r="C3" s="3"/>
      <c r="D3" s="3"/>
      <c r="E3" s="3"/>
      <c r="F3" s="3"/>
      <c r="G3" s="3"/>
      <c r="H3" s="3"/>
    </row>
    <row r="4" spans="1:8" ht="15" x14ac:dyDescent="0.35">
      <c r="A4" s="4"/>
      <c r="B4" s="5"/>
      <c r="C4" s="5"/>
      <c r="D4" s="5"/>
      <c r="E4" s="5"/>
      <c r="F4" s="5"/>
      <c r="G4" s="5"/>
      <c r="H4" s="6" t="s">
        <v>1</v>
      </c>
    </row>
    <row r="5" spans="1:8" ht="30" x14ac:dyDescent="0.35">
      <c r="A5" s="7" t="s">
        <v>2</v>
      </c>
      <c r="B5" s="8" t="s">
        <v>3</v>
      </c>
      <c r="C5" s="8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10"/>
    </row>
    <row r="6" spans="1:8" ht="73.5" customHeight="1" x14ac:dyDescent="0.35">
      <c r="A6" s="11">
        <v>1</v>
      </c>
      <c r="B6" s="12" t="s">
        <v>9</v>
      </c>
      <c r="C6" s="13" t="s">
        <v>10</v>
      </c>
      <c r="D6" s="14">
        <v>179399</v>
      </c>
      <c r="E6" s="15">
        <v>10000</v>
      </c>
      <c r="F6" s="16">
        <f>D6-E6</f>
        <v>169399</v>
      </c>
      <c r="G6" s="17" t="s">
        <v>11</v>
      </c>
      <c r="H6" s="18" t="s">
        <v>12</v>
      </c>
    </row>
    <row r="7" spans="1:8" ht="40.5" x14ac:dyDescent="0.35">
      <c r="A7" s="19">
        <v>2</v>
      </c>
      <c r="B7" s="20" t="s">
        <v>13</v>
      </c>
      <c r="C7" s="21">
        <v>722818468</v>
      </c>
      <c r="D7" s="22">
        <v>50243</v>
      </c>
      <c r="E7" s="23">
        <f>D7-F7</f>
        <v>23000</v>
      </c>
      <c r="F7" s="24">
        <v>27243</v>
      </c>
      <c r="G7" s="17" t="s">
        <v>14</v>
      </c>
      <c r="H7" s="18" t="s">
        <v>15</v>
      </c>
    </row>
    <row r="8" spans="1:8" ht="67.5" x14ac:dyDescent="0.35">
      <c r="A8" s="19">
        <v>3</v>
      </c>
      <c r="B8" s="20" t="s">
        <v>16</v>
      </c>
      <c r="C8" s="21">
        <v>727119020</v>
      </c>
      <c r="D8" s="22">
        <v>91897.74</v>
      </c>
      <c r="E8" s="25">
        <v>0</v>
      </c>
      <c r="F8" s="24">
        <f t="shared" ref="F8:F14" si="0">D8-E8</f>
        <v>91897.74</v>
      </c>
      <c r="G8" s="20" t="s">
        <v>17</v>
      </c>
      <c r="H8" s="26" t="s">
        <v>18</v>
      </c>
    </row>
    <row r="9" spans="1:8" ht="40.5" x14ac:dyDescent="0.35">
      <c r="A9" s="19">
        <v>4</v>
      </c>
      <c r="B9" s="20" t="s">
        <v>19</v>
      </c>
      <c r="C9" s="21">
        <v>724606232</v>
      </c>
      <c r="D9" s="22">
        <v>19284.79</v>
      </c>
      <c r="E9" s="23">
        <v>4000</v>
      </c>
      <c r="F9" s="24">
        <f t="shared" si="0"/>
        <v>15284.79</v>
      </c>
      <c r="G9" s="17" t="s">
        <v>20</v>
      </c>
      <c r="H9" s="18" t="s">
        <v>15</v>
      </c>
    </row>
    <row r="10" spans="1:8" ht="40.5" x14ac:dyDescent="0.35">
      <c r="A10" s="11">
        <v>5</v>
      </c>
      <c r="B10" s="27" t="s">
        <v>21</v>
      </c>
      <c r="C10" s="28">
        <v>731382000</v>
      </c>
      <c r="D10" s="29">
        <v>79649.64</v>
      </c>
      <c r="E10" s="30">
        <v>0</v>
      </c>
      <c r="F10" s="31">
        <f t="shared" si="0"/>
        <v>79649.64</v>
      </c>
      <c r="G10" s="27" t="s">
        <v>22</v>
      </c>
      <c r="H10" s="12" t="s">
        <v>22</v>
      </c>
    </row>
    <row r="11" spans="1:8" ht="54" x14ac:dyDescent="0.35">
      <c r="A11" s="11">
        <v>6</v>
      </c>
      <c r="B11" s="27" t="s">
        <v>23</v>
      </c>
      <c r="C11" s="28">
        <v>710451755</v>
      </c>
      <c r="D11" s="29">
        <v>18528.48</v>
      </c>
      <c r="E11" s="30">
        <v>0</v>
      </c>
      <c r="F11" s="32">
        <f t="shared" si="0"/>
        <v>18528.48</v>
      </c>
      <c r="G11" s="27" t="s">
        <v>24</v>
      </c>
      <c r="H11" s="18" t="s">
        <v>25</v>
      </c>
    </row>
    <row r="12" spans="1:8" ht="27" x14ac:dyDescent="0.35">
      <c r="A12" s="11">
        <v>7</v>
      </c>
      <c r="B12" s="12" t="s">
        <v>26</v>
      </c>
      <c r="C12" s="13">
        <v>705551169</v>
      </c>
      <c r="D12" s="14">
        <v>3701</v>
      </c>
      <c r="E12" s="33">
        <v>3701</v>
      </c>
      <c r="F12" s="16">
        <f t="shared" si="0"/>
        <v>0</v>
      </c>
      <c r="G12" s="17" t="s">
        <v>27</v>
      </c>
      <c r="H12" s="26" t="s">
        <v>27</v>
      </c>
    </row>
    <row r="13" spans="1:8" ht="40.5" x14ac:dyDescent="0.35">
      <c r="A13" s="19">
        <v>8</v>
      </c>
      <c r="B13" s="20" t="s">
        <v>28</v>
      </c>
      <c r="C13" s="21">
        <v>719586141</v>
      </c>
      <c r="D13" s="22">
        <v>4383</v>
      </c>
      <c r="E13" s="25">
        <v>0</v>
      </c>
      <c r="F13" s="24">
        <f t="shared" si="0"/>
        <v>4383</v>
      </c>
      <c r="G13" s="34" t="s">
        <v>29</v>
      </c>
      <c r="H13" s="26" t="s">
        <v>29</v>
      </c>
    </row>
    <row r="14" spans="1:8" ht="40.5" x14ac:dyDescent="0.35">
      <c r="A14" s="19">
        <v>9</v>
      </c>
      <c r="B14" s="20" t="s">
        <v>30</v>
      </c>
      <c r="C14" s="21">
        <v>723130260</v>
      </c>
      <c r="D14" s="22">
        <v>36273</v>
      </c>
      <c r="E14" s="25">
        <v>0</v>
      </c>
      <c r="F14" s="24">
        <f t="shared" si="0"/>
        <v>36273</v>
      </c>
      <c r="G14" s="34" t="s">
        <v>29</v>
      </c>
      <c r="H14" s="26" t="s">
        <v>29</v>
      </c>
    </row>
    <row r="15" spans="1:8" x14ac:dyDescent="0.35">
      <c r="A15" s="19"/>
      <c r="B15" s="20"/>
      <c r="C15" s="35"/>
      <c r="D15" s="35"/>
      <c r="E15" s="25"/>
      <c r="F15" s="36"/>
      <c r="G15" s="20"/>
      <c r="H15" s="20"/>
    </row>
    <row r="16" spans="1:8" x14ac:dyDescent="0.35">
      <c r="A16" s="19"/>
      <c r="B16" s="44" t="s">
        <v>31</v>
      </c>
      <c r="C16" s="45"/>
      <c r="D16" s="45"/>
      <c r="E16" s="45"/>
      <c r="F16" s="45"/>
      <c r="G16" s="45"/>
      <c r="H16" s="46"/>
    </row>
    <row r="17" spans="1:8" ht="40.5" x14ac:dyDescent="0.35">
      <c r="A17" s="19">
        <v>10</v>
      </c>
      <c r="B17" s="20" t="s">
        <v>32</v>
      </c>
      <c r="C17" s="35" t="s">
        <v>33</v>
      </c>
      <c r="D17" s="22">
        <v>310000</v>
      </c>
      <c r="E17" s="25">
        <v>0</v>
      </c>
      <c r="F17" s="24">
        <f>D17-E17</f>
        <v>310000</v>
      </c>
      <c r="G17" s="20" t="s">
        <v>34</v>
      </c>
      <c r="H17" s="20" t="s">
        <v>35</v>
      </c>
    </row>
    <row r="18" spans="1:8" x14ac:dyDescent="0.35">
      <c r="A18" s="19">
        <v>11</v>
      </c>
      <c r="B18" s="20"/>
      <c r="C18" s="35"/>
      <c r="D18" s="35"/>
      <c r="E18" s="25"/>
      <c r="F18" s="36"/>
      <c r="G18" s="20"/>
      <c r="H18" s="20"/>
    </row>
    <row r="19" spans="1:8" x14ac:dyDescent="0.35">
      <c r="A19" s="19"/>
      <c r="B19" s="20"/>
      <c r="C19" s="35"/>
      <c r="D19" s="35"/>
      <c r="E19" s="25"/>
      <c r="F19" s="36"/>
      <c r="G19" s="20"/>
      <c r="H19" s="20"/>
    </row>
    <row r="20" spans="1:8" x14ac:dyDescent="0.35">
      <c r="A20" s="19"/>
      <c r="B20" s="20"/>
      <c r="C20" s="35"/>
      <c r="D20" s="35"/>
      <c r="E20" s="25"/>
      <c r="F20" s="36"/>
      <c r="G20" s="20"/>
      <c r="H20" s="20"/>
    </row>
    <row r="21" spans="1:8" x14ac:dyDescent="0.35">
      <c r="A21" s="19"/>
      <c r="B21" s="20"/>
      <c r="C21" s="35"/>
      <c r="D21" s="35"/>
      <c r="E21" s="25"/>
      <c r="F21" s="36"/>
      <c r="G21" s="20"/>
      <c r="H21" s="20"/>
    </row>
    <row r="22" spans="1:8" ht="27" x14ac:dyDescent="0.35">
      <c r="A22" s="37"/>
      <c r="B22" s="17" t="s">
        <v>36</v>
      </c>
      <c r="C22" s="38"/>
      <c r="D22" s="39">
        <f>SUM(D6:D21)</f>
        <v>793359.64999999991</v>
      </c>
      <c r="E22" s="40">
        <f>SUM(E6:E21)</f>
        <v>40701</v>
      </c>
      <c r="F22" s="41">
        <f>SUM(F6:F15)</f>
        <v>442658.64999999997</v>
      </c>
      <c r="G22" s="17"/>
      <c r="H22" s="17"/>
    </row>
    <row r="23" spans="1:8" x14ac:dyDescent="0.35">
      <c r="A23" s="42"/>
      <c r="B23" s="42"/>
      <c r="C23" s="42"/>
      <c r="D23" s="42"/>
      <c r="E23" s="42"/>
      <c r="F23" s="42"/>
      <c r="G23" s="42"/>
      <c r="H23" s="42"/>
    </row>
    <row r="24" spans="1:8" x14ac:dyDescent="0.35">
      <c r="A24" s="42"/>
      <c r="B24" s="42"/>
      <c r="C24" s="42"/>
      <c r="D24" s="42"/>
      <c r="E24" s="42"/>
      <c r="F24" s="42"/>
      <c r="G24" s="42"/>
      <c r="H24" s="42"/>
    </row>
    <row r="25" spans="1:8" x14ac:dyDescent="0.35">
      <c r="A25" s="42"/>
      <c r="B25" s="43" t="s">
        <v>37</v>
      </c>
      <c r="C25" s="42"/>
      <c r="D25" s="42"/>
      <c r="E25" s="42"/>
      <c r="F25" s="42"/>
      <c r="G25" s="42"/>
      <c r="H25" s="42"/>
    </row>
  </sheetData>
  <mergeCells count="5">
    <mergeCell ref="A1:H1"/>
    <mergeCell ref="A2:H2"/>
    <mergeCell ref="A3:H3"/>
    <mergeCell ref="H4:H5"/>
    <mergeCell ref="B16:H16"/>
  </mergeCells>
  <pageMargins left="0.7" right="0.7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>
              <from>
                <xdr:col>3</xdr:col>
                <xdr:colOff>0</xdr:colOff>
                <xdr:row>0</xdr:row>
                <xdr:rowOff>0</xdr:rowOff>
              </from>
              <to>
                <xdr:col>4</xdr:col>
                <xdr:colOff>450850</xdr:colOff>
                <xdr:row>1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Maingi</dc:creator>
  <cp:lastModifiedBy>Patrick Maingi</cp:lastModifiedBy>
  <cp:lastPrinted>2026-02-28T17:16:43Z</cp:lastPrinted>
  <dcterms:created xsi:type="dcterms:W3CDTF">2026-02-28T17:10:42Z</dcterms:created>
  <dcterms:modified xsi:type="dcterms:W3CDTF">2026-02-28T17:17:33Z</dcterms:modified>
</cp:coreProperties>
</file>